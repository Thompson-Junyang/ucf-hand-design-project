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238a19887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on Hardware" sheetId="1" r:id="Rdee86d68ed014cf6"/>
    <x:sheet xmlns:r="http://schemas.openxmlformats.org/officeDocument/2006/relationships" name="Tendons and PTFE" sheetId="2" r:id="Racfd30d30b344416"/>
    <x:sheet xmlns:r="http://schemas.openxmlformats.org/officeDocument/2006/relationships" name="Printed and Silicone" sheetId="3" r:id="R7357f1e107304953"/>
    <x:sheet xmlns:r="http://schemas.openxmlformats.org/officeDocument/2006/relationships" name="Franka Interface" sheetId="4" r:id="Rd036dcc213b64e6c"/>
    <x:sheet xmlns:r="http://schemas.openxmlformats.org/officeDocument/2006/relationships" name="Dynamixel DX" sheetId="5" r:id="Rd3b60c865ab443b6"/>
    <x:sheet xmlns:r="http://schemas.openxmlformats.org/officeDocument/2006/relationships" name="Feetech FT" sheetId="6" r:id="R5de42e1119cf4397"/>
    <x:sheet xmlns:r="http://schemas.openxmlformats.org/officeDocument/2006/relationships" name="Read Me" sheetId="7" r:id="R8e43ef766560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b32fbe5704ffc" /><Relationship Type="http://schemas.openxmlformats.org/officeDocument/2006/relationships/theme" Target="/xl/theme/theme1.xml" Id="R64c4ba65a714420b" /><Relationship Type="http://schemas.openxmlformats.org/officeDocument/2006/relationships/sharedStrings" Target="/xl/sharedStrings.xml" Id="R56188d377c184b52" /><Relationship Type="http://schemas.openxmlformats.org/officeDocument/2006/relationships/worksheet" Target="/xl/worksheets/sheet1.xml" Id="Rdee86d68ed014cf6" /><Relationship Type="http://schemas.openxmlformats.org/officeDocument/2006/relationships/worksheet" Target="/xl/worksheets/sheet2.xml" Id="Racfd30d30b344416" /><Relationship Type="http://schemas.openxmlformats.org/officeDocument/2006/relationships/worksheet" Target="/xl/worksheets/sheet3.xml" Id="R7357f1e107304953" /><Relationship Type="http://schemas.openxmlformats.org/officeDocument/2006/relationships/worksheet" Target="/xl/worksheets/sheet4.xml" Id="Rd036dcc213b64e6c" /><Relationship Type="http://schemas.openxmlformats.org/officeDocument/2006/relationships/worksheet" Target="/xl/worksheets/sheet5.xml" Id="Rd3b60c865ab443b6" /><Relationship Type="http://schemas.openxmlformats.org/officeDocument/2006/relationships/worksheet" Target="/xl/worksheets/sheet6.xml" Id="R5de42e1119cf4397" /><Relationship Type="http://schemas.openxmlformats.org/officeDocument/2006/relationships/worksheet" Target="/xl/worksheets/sheet7.xml" Id="R8e43ef7665604531" /></Relationships>
</file>

<file path=xl/tables/table1.xml><?xml version="1.0" encoding="utf-8"?>
<x:table xmlns:x="http://schemas.openxmlformats.org/spreadsheetml/2006/main" id="1" name="CommonHardwareTable" displayName="CommonHardwareTable" ref="A1:K24" headerRowCount="1" totalsRowCount="0" totalsRowShown="0">
  <x:tableColumns count="11">
    <x:tableColumn id="1" name="Category"/>
    <x:tableColumn id="2" name="Component"/>
    <x:tableColumn id="3" name="Specification"/>
    <x:tableColumn id="4" name="Assembly Qty"/>
    <x:tableColumn id="5" name="Spare Qty"/>
    <x:tableColumn id="6" name="Notes / Location"/>
    <x:tableColumn id="7" name="Status"/>
    <x:tableColumn id="8" name="Purchase Qty"/>
    <x:tableColumn id="9" name="Unit Price (USD)"/>
    <x:tableColumn id="10" name="Extended Cost (USD)"/>
    <x:tableColumn id="11" name="Supplier / Li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ndonsandPTFETable" displayName="TendonsandPTFETable" ref="A1:K7" headerRowCount="1" totalsRowCount="0" totalsRowShown="0">
  <x:tableColumns count="11">
    <x:tableColumn id="1" name="Category"/>
    <x:tableColumn id="2" name="Component"/>
    <x:tableColumn id="3" name="Specification"/>
    <x:tableColumn id="4" name="Assembly Qty"/>
    <x:tableColumn id="5" name="Spare Qty"/>
    <x:tableColumn id="6" name="Notes / Location"/>
    <x:tableColumn id="7" name="Status"/>
    <x:tableColumn id="8" name="Purchase Qty"/>
    <x:tableColumn id="9" name="Unit Price (USD)"/>
    <x:tableColumn id="10" name="Extended Cost (USD)"/>
    <x:tableColumn id="11" name="Supplier / 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ntedandSiliconeTable" displayName="PrintedandSiliconeTable" ref="A1:K9" headerRowCount="1" totalsRowCount="0" totalsRowShown="0">
  <x:tableColumns count="11">
    <x:tableColumn id="1" name="Category"/>
    <x:tableColumn id="2" name="Component"/>
    <x:tableColumn id="3" name="Specification"/>
    <x:tableColumn id="4" name="Assembly Qty"/>
    <x:tableColumn id="5" name="Spare Qty"/>
    <x:tableColumn id="6" name="Notes / Location"/>
    <x:tableColumn id="7" name="Status"/>
    <x:tableColumn id="8" name="Purchase Qty"/>
    <x:tableColumn id="9" name="Unit Price (USD)"/>
    <x:tableColumn id="10" name="Extended Cost (USD)"/>
    <x:tableColumn id="11" name="Supplier / Lin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ankaInterfaceTable" displayName="FrankaInterfaceTable" ref="A1:K4" headerRowCount="1" totalsRowCount="0" totalsRowShown="0">
  <x:tableColumns count="11">
    <x:tableColumn id="1" name="Category"/>
    <x:tableColumn id="2" name="Component"/>
    <x:tableColumn id="3" name="Specification"/>
    <x:tableColumn id="4" name="Assembly Qty"/>
    <x:tableColumn id="5" name="Spare Qty"/>
    <x:tableColumn id="6" name="Notes / Location"/>
    <x:tableColumn id="7" name="Status"/>
    <x:tableColumn id="8" name="Purchase Qty"/>
    <x:tableColumn id="9" name="Unit Price (USD)"/>
    <x:tableColumn id="10" name="Extended Cost (USD)"/>
    <x:tableColumn id="11" name="Supplier / Li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ynamixelDXTable" displayName="DynamixelDXTable" ref="A1:K12" headerRowCount="1" totalsRowCount="0" totalsRowShown="0">
  <x:tableColumns count="11">
    <x:tableColumn id="1" name="Category"/>
    <x:tableColumn id="2" name="Component"/>
    <x:tableColumn id="3" name="Specification"/>
    <x:tableColumn id="4" name="Assembly Qty"/>
    <x:tableColumn id="5" name="Spare Qty"/>
    <x:tableColumn id="6" name="Notes / Location"/>
    <x:tableColumn id="7" name="Status"/>
    <x:tableColumn id="8" name="Purchase Qty"/>
    <x:tableColumn id="9" name="Unit Price (USD)"/>
    <x:tableColumn id="10" name="Extended Cost (USD)"/>
    <x:tableColumn id="11" name="Supplier / Li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etechFTTable" displayName="FeetechFTTable" ref="A1:K13" headerRowCount="1" totalsRowCount="0" totalsRowShown="0">
  <x:tableColumns count="11">
    <x:tableColumn id="1" name="Category"/>
    <x:tableColumn id="2" name="Component"/>
    <x:tableColumn id="3" name="Specification"/>
    <x:tableColumn id="4" name="Assembly Qty"/>
    <x:tableColumn id="5" name="Spare Qty"/>
    <x:tableColumn id="6" name="Notes / Location"/>
    <x:tableColumn id="7" name="Status"/>
    <x:tableColumn id="8" name="Purchase Qty"/>
    <x:tableColumn id="9" name="Unit Price (USD)"/>
    <x:tableColumn id="10" name="Extended Cost (USD)"/>
    <x:tableColumn id="11" name="Supplier /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a58729548d46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b6115828a841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72a331c49a4d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0282a0fd854d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558b36746544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a2103e943d473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36" hidden="0" customWidth="1"/>
    <x:col min="4" max="4" width="15" hidden="0" customWidth="1"/>
    <x:col min="5" max="5" width="13" hidden="0" customWidth="1"/>
    <x:col min="6" max="6" width="52" hidden="0" customWidth="1"/>
    <x:col min="7" max="7" width="22" hidden="0" customWidth="1"/>
    <x:col min="8" max="8" width="16" hidden="0" customWidth="1"/>
    <x:col min="9" max="9" width="20" hidden="0" customWidth="1"/>
    <x:col min="10" max="10" width="23" hidden="0" customWidth="1"/>
    <x:col min="11" max="11" width="36" hidden="0" customWidth="1"/>
  </x:cols>
  <x:sheetData>
    <x:row r="1" ht="32" customHeight="1">
      <x:c r="A1" s="4" t="str">
        <x:v>Category</x:v>
      </x:c>
      <x:c r="B1" s="4" t="str">
        <x:v>Component</x:v>
      </x:c>
      <x:c r="C1" s="4" t="str">
        <x:v>Specification</x:v>
      </x:c>
      <x:c r="D1" s="4" t="str">
        <x:v>Assembly Qty</x:v>
      </x:c>
      <x:c r="E1" s="4" t="str">
        <x:v>Spare Qty</x:v>
      </x:c>
      <x:c r="F1" s="4" t="str">
        <x:v>Notes / Location</x:v>
      </x:c>
      <x:c r="G1" s="4" t="str">
        <x:v>Status</x:v>
      </x:c>
      <x:c r="H1" s="4" t="str">
        <x:v>Purchase Qty</x:v>
      </x:c>
      <x:c r="I1" s="4" t="str">
        <x:v>Unit Price (USD)</x:v>
      </x:c>
      <x:c r="J1" s="4" t="str">
        <x:v>Extended Cost (USD)</x:v>
      </x:c>
      <x:c r="K1" s="4" t="str">
        <x:v>Supplier / Link</x:v>
      </x:c>
    </x:row>
    <x:row r="2" ht="28" customHeight="1">
      <x:c r="A2" s="8" t="str">
        <x:v>Bearings</x:v>
      </x:c>
      <x:c r="B2" s="8" t="str">
        <x:v>Miniature bearing</x:v>
      </x:c>
      <x:c r="C2" s="8" t="str">
        <x:v>4x8x3 mm MR84</x:v>
      </x:c>
      <x:c r="D2" s="8" t="n">
        <x:v>55</x:v>
      </x:c>
      <x:c r="E2" s="8" t="n">
        <x:v>4</x:v>
      </x:c>
      <x:c r="F2" s="8" t="str">
        <x:v>WristAdapter, TopSpool, fingers</x:v>
      </x:c>
      <x:c r="G2" s="8" t="str">
        <x:v>Confirmed</x:v>
      </x:c>
      <x:c r="H2" s="8" t="n">
        <x:f>IF(ISNUMBER(D2),D2+IF(ISNUMBER(E2),E2,0),"")</x:f>
        <x:v>59</x:v>
      </x:c>
      <x:c r="I2" s="8"/>
      <x:c r="J2" s="8" t="str">
        <x:f>IF(AND(ISNUMBER(H2),ISNUMBER(I2)),H2*I2,"")</x:f>
      </x:c>
      <x:c r="K2" s="8"/>
    </x:row>
    <x:row r="3" ht="28" customHeight="1">
      <x:c r="A3" s="8" t="str">
        <x:v>Bearings</x:v>
      </x:c>
      <x:c r="B3" s="8" t="str">
        <x:v>Wrist bearing (original)</x:v>
      </x:c>
      <x:c r="C3" s="8" t="str">
        <x:v>6x13x5 mm</x:v>
      </x:c>
      <x:c r="D3" s="8" t="n">
        <x:v>2</x:v>
      </x:c>
      <x:c r="E3" s="8" t="n">
        <x:v>0</x:v>
      </x:c>
      <x:c r="F3" s="8" t="str">
        <x:v>Alternative to addendum; do not purchase both</x:v>
      </x:c>
      <x:c r="G3" s="8" t="str">
        <x:v>VERIFY CAD</x:v>
      </x:c>
      <x:c r="H3" s="8" t="n">
        <x:f>IF(ISNUMBER(D3),D3+IF(ISNUMBER(E3),E3,0),"")</x:f>
        <x:v>2</x:v>
      </x:c>
      <x:c r="I3" s="8"/>
      <x:c r="J3" s="8" t="str">
        <x:f>IF(AND(ISNUMBER(H3),ISNUMBER(I3)),H3*I3,"")</x:f>
      </x:c>
      <x:c r="K3" s="8"/>
    </x:row>
    <x:row r="4" ht="28" customHeight="1">
      <x:c r="A4" s="8" t="str">
        <x:v>Bearings</x:v>
      </x:c>
      <x:c r="B4" s="8" t="str">
        <x:v>Wrist bearing (addendum)</x:v>
      </x:c>
      <x:c r="C4" s="8" t="str">
        <x:v>8x13x4 mm</x:v>
      </x:c>
      <x:c r="D4" s="8" t="n">
        <x:v>2</x:v>
      </x:c>
      <x:c r="E4" s="8" t="n">
        <x:v>0</x:v>
      </x:c>
      <x:c r="F4" s="8" t="str">
        <x:v>Alternative to original; do not purchase both</x:v>
      </x:c>
      <x:c r="G4" s="8" t="str">
        <x:v>VERIFY CAD</x:v>
      </x:c>
      <x:c r="H4" s="8" t="n">
        <x:f>IF(ISNUMBER(D4),D4+IF(ISNUMBER(E4),E4,0),"")</x:f>
        <x:v>2</x:v>
      </x:c>
      <x:c r="I4" s="8"/>
      <x:c r="J4" s="8" t="str">
        <x:f>IF(AND(ISNUMBER(H4),ISNUMBER(I4)),H4*I4,"")</x:f>
      </x:c>
      <x:c r="K4" s="8"/>
    </x:row>
    <x:row r="5" ht="28" customHeight="1">
      <x:c r="A5" s="8" t="str">
        <x:v>Pins</x:v>
      </x:c>
      <x:c r="B5" s="8" t="str">
        <x:v>Cylindrical pin</x:v>
      </x:c>
      <x:c r="C5" s="8" t="str">
        <x:v>Ø4x10 mm</x:v>
      </x:c>
      <x:c r="D5" s="8" t="n">
        <x:v>1</x:v>
      </x:c>
      <x:c r="E5" s="8" t="n">
        <x:v>0</x:v>
      </x:c>
      <x:c r="F5" s="8" t="str">
        <x:v>Wrist</x:v>
      </x:c>
      <x:c r="G5" s="8" t="str">
        <x:v>Confirmed</x:v>
      </x:c>
      <x:c r="H5" s="8" t="n">
        <x:f>IF(ISNUMBER(D5),D5+IF(ISNUMBER(E5),E5,0),"")</x:f>
        <x:v>1</x:v>
      </x:c>
      <x:c r="I5" s="8"/>
      <x:c r="J5" s="8" t="str">
        <x:f>IF(AND(ISNUMBER(H5),ISNUMBER(I5)),H5*I5,"")</x:f>
      </x:c>
      <x:c r="K5" s="8"/>
    </x:row>
    <x:row r="6" ht="28" customHeight="1">
      <x:c r="A6" s="8" t="str">
        <x:v>Pins</x:v>
      </x:c>
      <x:c r="B6" s="8" t="str">
        <x:v>Dowel pin</x:v>
      </x:c>
      <x:c r="C6" s="8" t="str">
        <x:v>Ø2x10 mm</x:v>
      </x:c>
      <x:c r="D6" s="8" t="n">
        <x:v>2</x:v>
      </x:c>
      <x:c r="E6" s="8" t="n">
        <x:v>0</x:v>
      </x:c>
      <x:c r="F6" s="8" t="str">
        <x:v>Thumb AP</x:v>
      </x:c>
      <x:c r="G6" s="8" t="str">
        <x:v>Confirmed</x:v>
      </x:c>
      <x:c r="H6" s="8" t="n">
        <x:f>IF(ISNUMBER(D6),D6+IF(ISNUMBER(E6),E6,0),"")</x:f>
        <x:v>2</x:v>
      </x:c>
      <x:c r="I6" s="8"/>
      <x:c r="J6" s="8" t="str">
        <x:f>IF(AND(ISNUMBER(H6),ISNUMBER(I6)),H6*I6,"")</x:f>
      </x:c>
      <x:c r="K6" s="8"/>
    </x:row>
    <x:row r="7" ht="28" customHeight="1">
      <x:c r="A7" s="8" t="str">
        <x:v>Pins</x:v>
      </x:c>
      <x:c r="B7" s="8" t="str">
        <x:v>Dowel pin</x:v>
      </x:c>
      <x:c r="C7" s="8" t="str">
        <x:v>Ø2x8 mm</x:v>
      </x:c>
      <x:c r="D7" s="8" t="n">
        <x:v>13</x:v>
      </x:c>
      <x:c r="E7" s="8" t="n">
        <x:v>0</x:v>
      </x:c>
      <x:c r="F7" s="8" t="str">
        <x:v>AP and PP</x:v>
      </x:c>
      <x:c r="G7" s="8" t="str">
        <x:v>Confirmed</x:v>
      </x:c>
      <x:c r="H7" s="8" t="n">
        <x:f>IF(ISNUMBER(D7),D7+IF(ISNUMBER(E7),E7,0),"")</x:f>
        <x:v>13</x:v>
      </x:c>
      <x:c r="I7" s="8"/>
      <x:c r="J7" s="8" t="str">
        <x:f>IF(AND(ISNUMBER(H7),ISNUMBER(I7)),H7*I7,"")</x:f>
      </x:c>
      <x:c r="K7" s="8"/>
    </x:row>
    <x:row r="8" ht="28" customHeight="1">
      <x:c r="A8" s="8" t="str">
        <x:v>Pins</x:v>
      </x:c>
      <x:c r="B8" s="8" t="str">
        <x:v>Dowel pin</x:v>
      </x:c>
      <x:c r="C8" s="8" t="str">
        <x:v>Ø2x6 mm</x:v>
      </x:c>
      <x:c r="D8" s="8" t="n">
        <x:v>12</x:v>
      </x:c>
      <x:c r="E8" s="8" t="n">
        <x:v>0</x:v>
      </x:c>
      <x:c r="F8" s="8" t="str">
        <x:v>PP</x:v>
      </x:c>
      <x:c r="G8" s="8" t="str">
        <x:v>Confirmed</x:v>
      </x:c>
      <x:c r="H8" s="8" t="n">
        <x:f>IF(ISNUMBER(D8),D8+IF(ISNUMBER(E8),E8,0),"")</x:f>
        <x:v>12</x:v>
      </x:c>
      <x:c r="I8" s="8"/>
      <x:c r="J8" s="8" t="str">
        <x:f>IF(AND(ISNUMBER(H8),ISNUMBER(I8)),H8*I8,"")</x:f>
      </x:c>
      <x:c r="K8" s="8"/>
    </x:row>
    <x:row r="9" ht="28" customHeight="1">
      <x:c r="A9" s="8" t="str">
        <x:v>Pins</x:v>
      </x:c>
      <x:c r="B9" s="8" t="str">
        <x:v>Dowel pin</x:v>
      </x:c>
      <x:c r="C9" s="8" t="str">
        <x:v>Ø3x50 mm</x:v>
      </x:c>
      <x:c r="D9" s="8" t="n">
        <x:v>2</x:v>
      </x:c>
      <x:c r="E9" s="8" t="n">
        <x:v>0</x:v>
      </x:c>
      <x:c r="F9" s="8" t="str">
        <x:v>Carpals wrist joint; Ø3x45 barely fits</x:v>
      </x:c>
      <x:c r="G9" s="8" t="str">
        <x:v>Addendum</x:v>
      </x:c>
      <x:c r="H9" s="8" t="n">
        <x:f>IF(ISNUMBER(D9),D9+IF(ISNUMBER(E9),E9,0),"")</x:f>
        <x:v>2</x:v>
      </x:c>
      <x:c r="I9" s="8"/>
      <x:c r="J9" s="8" t="str">
        <x:f>IF(AND(ISNUMBER(H9),ISNUMBER(I9)),H9*I9,"")</x:f>
      </x:c>
      <x:c r="K9" s="8"/>
    </x:row>
    <x:row r="10" ht="28" customHeight="1">
      <x:c r="A10" s="8" t="str">
        <x:v>Pins</x:v>
      </x:c>
      <x:c r="B10" s="8" t="str">
        <x:v>Dowel pin</x:v>
      </x:c>
      <x:c r="C10" s="8" t="str">
        <x:v>Ø2x30 mm</x:v>
      </x:c>
      <x:c r="D10" s="8" t="n">
        <x:v>2</x:v>
      </x:c>
      <x:c r="E10" s="8" t="n">
        <x:v>0</x:v>
      </x:c>
      <x:c r="F10" s="8" t="str">
        <x:v>Updated thumb AP</x:v>
      </x:c>
      <x:c r="G10" s="8" t="str">
        <x:v>Addendum</x:v>
      </x:c>
      <x:c r="H10" s="8" t="n">
        <x:f>IF(ISNUMBER(D10),D10+IF(ISNUMBER(E10),E10,0),"")</x:f>
        <x:v>2</x:v>
      </x:c>
      <x:c r="I10" s="8"/>
      <x:c r="J10" s="8" t="str">
        <x:f>IF(AND(ISNUMBER(H10),ISNUMBER(I10)),H10*I10,"")</x:f>
      </x:c>
      <x:c r="K10" s="8"/>
    </x:row>
    <x:row r="11" ht="28" customHeight="1">
      <x:c r="A11" s="8" t="str">
        <x:v>Hardware</x:v>
      </x:c>
      <x:c r="B11" s="8" t="str">
        <x:v>Magnet</x:v>
      </x:c>
      <x:c r="C11" s="8" t="str">
        <x:v>Ø3x5 mm</x:v>
      </x:c>
      <x:c r="D11" s="8" t="n">
        <x:v>16</x:v>
      </x:c>
      <x:c r="E11" s="8" t="n">
        <x:v>0</x:v>
      </x:c>
      <x:c r="F11" s="8" t="str">
        <x:v>Hulls</x:v>
      </x:c>
      <x:c r="G11" s="8" t="str">
        <x:v>Confirmed</x:v>
      </x:c>
      <x:c r="H11" s="8" t="n">
        <x:f>IF(ISNUMBER(D11),D11+IF(ISNUMBER(E11),E11,0),"")</x:f>
        <x:v>16</x:v>
      </x:c>
      <x:c r="I11" s="8"/>
      <x:c r="J11" s="8" t="str">
        <x:f>IF(AND(ISNUMBER(H11),ISNUMBER(I11)),H11*I11,"")</x:f>
      </x:c>
      <x:c r="K11" s="8"/>
    </x:row>
    <x:row r="12" ht="28" customHeight="1">
      <x:c r="A12" s="8" t="str">
        <x:v>Hardware</x:v>
      </x:c>
      <x:c r="B12" s="8" t="str">
        <x:v>M4 washer</x:v>
      </x:c>
      <x:c r="C12" s="8" t="str">
        <x:v>M4</x:v>
      </x:c>
      <x:c r="D12" s="8" t="n">
        <x:v>2</x:v>
      </x:c>
      <x:c r="E12" s="8" t="n">
        <x:v>1</x:v>
      </x:c>
      <x:c r="F12" s="8" t="str">
        <x:v>Wrist</x:v>
      </x:c>
      <x:c r="G12" s="8" t="str">
        <x:v>Confirmed</x:v>
      </x:c>
      <x:c r="H12" s="8" t="n">
        <x:f>IF(ISNUMBER(D12),D12+IF(ISNUMBER(E12),E12,0),"")</x:f>
        <x:v>3</x:v>
      </x:c>
      <x:c r="I12" s="8"/>
      <x:c r="J12" s="8" t="str">
        <x:f>IF(AND(ISNUMBER(H12),ISNUMBER(I12)),H12*I12,"")</x:f>
      </x:c>
      <x:c r="K12" s="8"/>
    </x:row>
    <x:row r="13" ht="28" customHeight="1">
      <x:c r="A13" s="8" t="str">
        <x:v>Hardware</x:v>
      </x:c>
      <x:c r="B13" s="8" t="str">
        <x:v>M4 square nut</x:v>
      </x:c>
      <x:c r="C13" s="8" t="str">
        <x:v>M4</x:v>
      </x:c>
      <x:c r="D13" s="8" t="n">
        <x:v>2</x:v>
      </x:c>
      <x:c r="E13" s="8" t="n">
        <x:v>1</x:v>
      </x:c>
      <x:c r="F13" s="8" t="str">
        <x:v>Wrist</x:v>
      </x:c>
      <x:c r="G13" s="8" t="str">
        <x:v>Confirmed</x:v>
      </x:c>
      <x:c r="H13" s="8" t="n">
        <x:f>IF(ISNUMBER(D13),D13+IF(ISNUMBER(E13),E13,0),"")</x:f>
        <x:v>3</x:v>
      </x:c>
      <x:c r="I13" s="8"/>
      <x:c r="J13" s="8" t="str">
        <x:f>IF(AND(ISNUMBER(H13),ISNUMBER(I13)),H13*I13,"")</x:f>
      </x:c>
      <x:c r="K13" s="8"/>
    </x:row>
    <x:row r="14" ht="28" customHeight="1">
      <x:c r="A14" s="8" t="str">
        <x:v>Hardware</x:v>
      </x:c>
      <x:c r="B14" s="8" t="str">
        <x:v>M4 hex nut</x:v>
      </x:c>
      <x:c r="C14" s="8" t="str">
        <x:v>M4</x:v>
      </x:c>
      <x:c r="D14" s="8" t="n">
        <x:v>3</x:v>
      </x:c>
      <x:c r="E14" s="8" t="n">
        <x:v>0</x:v>
      </x:c>
      <x:c r="F14" s="8" t="str">
        <x:v>TopTower</x:v>
      </x:c>
      <x:c r="G14" s="8" t="str">
        <x:v>Confirmed</x:v>
      </x:c>
      <x:c r="H14" s="8" t="n">
        <x:f>IF(ISNUMBER(D14),D14+IF(ISNUMBER(E14),E14,0),"")</x:f>
        <x:v>3</x:v>
      </x:c>
      <x:c r="I14" s="8"/>
      <x:c r="J14" s="8" t="str">
        <x:f>IF(AND(ISNUMBER(H14),ISNUMBER(I14)),H14*I14,"")</x:f>
      </x:c>
      <x:c r="K14" s="8"/>
    </x:row>
    <x:row r="15" ht="28" customHeight="1">
      <x:c r="A15" s="8" t="str">
        <x:v>Hardware</x:v>
      </x:c>
      <x:c r="B15" s="8" t="str">
        <x:v>M3 nut</x:v>
      </x:c>
      <x:c r="C15" s="8" t="str">
        <x:v>M3</x:v>
      </x:c>
      <x:c r="D15" s="8" t="n">
        <x:v>20</x:v>
      </x:c>
      <x:c r="E15" s="8" t="n">
        <x:v>2</x:v>
      </x:c>
      <x:c r="F15" s="8" t="str">
        <x:v>Fans, board, connectors, holders</x:v>
      </x:c>
      <x:c r="G15" s="8" t="str">
        <x:v>Confirmed</x:v>
      </x:c>
      <x:c r="H15" s="8" t="n">
        <x:f>IF(ISNUMBER(D15),D15+IF(ISNUMBER(E15),E15,0),"")</x:f>
        <x:v>22</x:v>
      </x:c>
      <x:c r="I15" s="8"/>
      <x:c r="J15" s="8" t="str">
        <x:f>IF(AND(ISNUMBER(H15),ISNUMBER(I15)),H15*I15,"")</x:f>
      </x:c>
      <x:c r="K15" s="8"/>
    </x:row>
    <x:row r="16" ht="28" customHeight="1">
      <x:c r="A16" s="8" t="str">
        <x:v>Hardware</x:v>
      </x:c>
      <x:c r="B16" s="8" t="str">
        <x:v>M2 nut</x:v>
      </x:c>
      <x:c r="C16" s="8" t="str">
        <x:v>M2</x:v>
      </x:c>
      <x:c r="D16" s="8" t="n">
        <x:v>16</x:v>
      </x:c>
      <x:c r="E16" s="8" t="n">
        <x:v>4</x:v>
      </x:c>
      <x:c r="F16" s="8" t="str">
        <x:v>BottomSpools</x:v>
      </x:c>
      <x:c r="G16" s="8" t="str">
        <x:v>Confirmed</x:v>
      </x:c>
      <x:c r="H16" s="8" t="n">
        <x:f>IF(ISNUMBER(D16),D16+IF(ISNUMBER(E16),E16,0),"")</x:f>
        <x:v>20</x:v>
      </x:c>
      <x:c r="I16" s="8"/>
      <x:c r="J16" s="8" t="str">
        <x:f>IF(AND(ISNUMBER(H16),ISNUMBER(I16)),H16*I16,"")</x:f>
      </x:c>
      <x:c r="K16" s="8"/>
    </x:row>
    <x:row r="17" ht="28" customHeight="1">
      <x:c r="A17" s="8" t="str">
        <x:v>Screws</x:v>
      </x:c>
      <x:c r="B17" s="8" t="str">
        <x:v>Socket head screw DIN 912</x:v>
      </x:c>
      <x:c r="C17" s="8" t="str">
        <x:v>M4x20</x:v>
      </x:c>
      <x:c r="D17" s="8" t="n">
        <x:v>2</x:v>
      </x:c>
      <x:c r="E17" s="8" t="n">
        <x:v>0</x:v>
      </x:c>
      <x:c r="F17" s="8" t="str">
        <x:v>Wrist</x:v>
      </x:c>
      <x:c r="G17" s="8" t="str">
        <x:v>Confirmed</x:v>
      </x:c>
      <x:c r="H17" s="8" t="n">
        <x:f>IF(ISNUMBER(D17),D17+IF(ISNUMBER(E17),E17,0),"")</x:f>
        <x:v>2</x:v>
      </x:c>
      <x:c r="I17" s="8"/>
      <x:c r="J17" s="8" t="str">
        <x:f>IF(AND(ISNUMBER(H17),ISNUMBER(I17)),H17*I17,"")</x:f>
      </x:c>
      <x:c r="K17" s="8"/>
    </x:row>
    <x:row r="18" ht="28" customHeight="1">
      <x:c r="A18" s="8" t="str">
        <x:v>Screws</x:v>
      </x:c>
      <x:c r="B18" s="8" t="str">
        <x:v>Socket head screw DIN 912</x:v>
      </x:c>
      <x:c r="C18" s="8" t="str">
        <x:v>M4x10</x:v>
      </x:c>
      <x:c r="D18" s="8" t="n">
        <x:v>6</x:v>
      </x:c>
      <x:c r="E18" s="8" t="n">
        <x:v>2</x:v>
      </x:c>
      <x:c r="F18" s="8" t="str">
        <x:v>TopTower and top/bottom connection</x:v>
      </x:c>
      <x:c r="G18" s="8" t="str">
        <x:v>Confirmed</x:v>
      </x:c>
      <x:c r="H18" s="8" t="n">
        <x:f>IF(ISNUMBER(D18),D18+IF(ISNUMBER(E18),E18,0),"")</x:f>
        <x:v>8</x:v>
      </x:c>
      <x:c r="I18" s="8"/>
      <x:c r="J18" s="8" t="str">
        <x:f>IF(AND(ISNUMBER(H18),ISNUMBER(I18)),H18*I18,"")</x:f>
      </x:c>
      <x:c r="K18" s="8"/>
    </x:row>
    <x:row r="19" ht="28" customHeight="1">
      <x:c r="A19" s="8" t="str">
        <x:v>Screws</x:v>
      </x:c>
      <x:c r="B19" s="8" t="str">
        <x:v>Socket head screw DIN 912</x:v>
      </x:c>
      <x:c r="C19" s="8" t="str">
        <x:v>M3x14</x:v>
      </x:c>
      <x:c r="D19" s="8" t="n">
        <x:v>6</x:v>
      </x:c>
      <x:c r="E19" s="8" t="n">
        <x:v>2</x:v>
      </x:c>
      <x:c r="F19" s="8" t="str">
        <x:v>Fans</x:v>
      </x:c>
      <x:c r="G19" s="8" t="str">
        <x:v>Confirmed</x:v>
      </x:c>
      <x:c r="H19" s="8" t="n">
        <x:f>IF(ISNUMBER(D19),D19+IF(ISNUMBER(E19),E19,0),"")</x:f>
        <x:v>8</x:v>
      </x:c>
      <x:c r="I19" s="8"/>
      <x:c r="J19" s="8" t="str">
        <x:f>IF(AND(ISNUMBER(H19),ISNUMBER(I19)),H19*I19,"")</x:f>
      </x:c>
      <x:c r="K19" s="8"/>
    </x:row>
    <x:row r="20" ht="28" customHeight="1">
      <x:c r="A20" s="8" t="str">
        <x:v>Screws</x:v>
      </x:c>
      <x:c r="B20" s="8" t="str">
        <x:v>Socket head screw DIN 912</x:v>
      </x:c>
      <x:c r="C20" s="8" t="str">
        <x:v>M3x12</x:v>
      </x:c>
      <x:c r="D20" s="8" t="n">
        <x:v>14</x:v>
      </x:c>
      <x:c r="E20" s="8" t="n">
        <x:v>0</x:v>
      </x:c>
      <x:c r="F20" s="8" t="str">
        <x:v>Spool holders, fans, Franka</x:v>
      </x:c>
      <x:c r="G20" s="8" t="str">
        <x:v>Confirmed</x:v>
      </x:c>
      <x:c r="H20" s="8" t="n">
        <x:f>IF(ISNUMBER(D20),D20+IF(ISNUMBER(E20),E20,0),"")</x:f>
        <x:v>14</x:v>
      </x:c>
      <x:c r="I20" s="8"/>
      <x:c r="J20" s="8" t="str">
        <x:f>IF(AND(ISNUMBER(H20),ISNUMBER(I20)),H20*I20,"")</x:f>
      </x:c>
      <x:c r="K20" s="8"/>
    </x:row>
    <x:row r="21" ht="28" customHeight="1">
      <x:c r="A21" s="8" t="str">
        <x:v>Screws</x:v>
      </x:c>
      <x:c r="B21" s="8" t="str">
        <x:v>Socket head screw DIN 912</x:v>
      </x:c>
      <x:c r="C21" s="8" t="str">
        <x:v>M3x8</x:v>
      </x:c>
      <x:c r="D21" s="8" t="n">
        <x:v>2</x:v>
      </x:c>
      <x:c r="E21" s="8" t="n">
        <x:v>2</x:v>
      </x:c>
      <x:c r="F21" s="8" t="str">
        <x:v>Top/bottom connection</x:v>
      </x:c>
      <x:c r="G21" s="8" t="str">
        <x:v>Confirmed</x:v>
      </x:c>
      <x:c r="H21" s="8" t="n">
        <x:f>IF(ISNUMBER(D21),D21+IF(ISNUMBER(E21),E21,0),"")</x:f>
        <x:v>4</x:v>
      </x:c>
      <x:c r="I21" s="8"/>
      <x:c r="J21" s="8" t="str">
        <x:f>IF(AND(ISNUMBER(H21),ISNUMBER(I21)),H21*I21,"")</x:f>
      </x:c>
      <x:c r="K21" s="8"/>
    </x:row>
    <x:row r="22" ht="28" customHeight="1">
      <x:c r="A22" s="8" t="str">
        <x:v>Screws</x:v>
      </x:c>
      <x:c r="B22" s="8" t="str">
        <x:v>Socket head screw DIN 912</x:v>
      </x:c>
      <x:c r="C22" s="8" t="str">
        <x:v>M3x6</x:v>
      </x:c>
      <x:c r="D22" s="8" t="n">
        <x:v>2</x:v>
      </x:c>
      <x:c r="E22" s="8" t="n">
        <x:v>1</x:v>
      </x:c>
      <x:c r="F22" s="8" t="str">
        <x:v>Board</x:v>
      </x:c>
      <x:c r="G22" s="8" t="str">
        <x:v>Confirmed</x:v>
      </x:c>
      <x:c r="H22" s="8" t="n">
        <x:f>IF(ISNUMBER(D22),D22+IF(ISNUMBER(E22),E22,0),"")</x:f>
        <x:v>3</x:v>
      </x:c>
      <x:c r="I22" s="8"/>
      <x:c r="J22" s="8" t="str">
        <x:f>IF(AND(ISNUMBER(H22),ISNUMBER(I22)),H22*I22,"")</x:f>
      </x:c>
      <x:c r="K22" s="8"/>
    </x:row>
    <x:row r="23" ht="28" customHeight="1">
      <x:c r="A23" s="8" t="str">
        <x:v>Screws</x:v>
      </x:c>
      <x:c r="B23" s="8" t="str">
        <x:v>Socket head screw DIN 912</x:v>
      </x:c>
      <x:c r="C23" s="8" t="str">
        <x:v>M2x8</x:v>
      </x:c>
      <x:c r="D23" s="8" t="n">
        <x:v>20</x:v>
      </x:c>
      <x:c r="E23" s="8" t="n">
        <x:v>2</x:v>
      </x:c>
      <x:c r="F23" s="8" t="str">
        <x:v>Spools and WristSpool</x:v>
      </x:c>
      <x:c r="G23" s="8" t="str">
        <x:v>Confirmed</x:v>
      </x:c>
      <x:c r="H23" s="8" t="n">
        <x:f>IF(ISNUMBER(D23),D23+IF(ISNUMBER(E23),E23,0),"")</x:f>
        <x:v>22</x:v>
      </x:c>
      <x:c r="I23" s="8"/>
      <x:c r="J23" s="8" t="str">
        <x:f>IF(AND(ISNUMBER(H23),ISNUMBER(I23)),H23*I23,"")</x:f>
      </x:c>
      <x:c r="K23" s="8"/>
    </x:row>
    <x:row r="24" ht="28" customHeight="1">
      <x:c r="A24" s="8" t="str">
        <x:v>Screws</x:v>
      </x:c>
      <x:c r="B24" s="8" t="str">
        <x:v>Socket head screw DIN 912</x:v>
      </x:c>
      <x:c r="C24" s="8" t="str">
        <x:v>M2x4</x:v>
      </x:c>
      <x:c r="D24" s="8" t="n">
        <x:v>64</x:v>
      </x:c>
      <x:c r="E24" s="8" t="n">
        <x:v>6</x:v>
      </x:c>
      <x:c r="F24" s="8" t="str">
        <x:v>Spools</x:v>
      </x:c>
      <x:c r="G24" s="8" t="str">
        <x:v>Confirmed</x:v>
      </x:c>
      <x:c r="H24" s="8" t="n">
        <x:f>IF(ISNUMBER(D24),D24+IF(ISNUMBER(E24),E24,0),"")</x:f>
        <x:v>70</x:v>
      </x:c>
      <x:c r="I24" s="8"/>
      <x:c r="J24" s="8" t="str">
        <x:f>IF(AND(ISNUMBER(H24),ISNUMBER(I24)),H24*I24,"")</x:f>
      </x:c>
      <x:c r="K24" s="8"/>
    </x:row>
  </x:sheetData>
  <x:pageMargins left="0.7" right="0.7" top="0.75" bottom="0.75" header="0.3" footer="0.3"/>
  <x:tableParts count="1">
    <x:tablePart xmlns:r="http://schemas.openxmlformats.org/officeDocument/2006/relationships" r:id="R96a58729548d468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36" hidden="0" customWidth="1"/>
    <x:col min="4" max="4" width="15" hidden="0" customWidth="1"/>
    <x:col min="5" max="5" width="13" hidden="0" customWidth="1"/>
    <x:col min="6" max="6" width="52" hidden="0" customWidth="1"/>
    <x:col min="7" max="7" width="22" hidden="0" customWidth="1"/>
    <x:col min="8" max="8" width="16" hidden="0" customWidth="1"/>
    <x:col min="9" max="9" width="20" hidden="0" customWidth="1"/>
    <x:col min="10" max="10" width="23" hidden="0" customWidth="1"/>
    <x:col min="11" max="11" width="36" hidden="0" customWidth="1"/>
  </x:cols>
  <x:sheetData>
    <x:row r="1" ht="32" customHeight="1">
      <x:c r="A1" s="4" t="str">
        <x:v>Category</x:v>
      </x:c>
      <x:c r="B1" s="4" t="str">
        <x:v>Component</x:v>
      </x:c>
      <x:c r="C1" s="4" t="str">
        <x:v>Specification</x:v>
      </x:c>
      <x:c r="D1" s="4" t="str">
        <x:v>Assembly Qty</x:v>
      </x:c>
      <x:c r="E1" s="4" t="str">
        <x:v>Spare Qty</x:v>
      </x:c>
      <x:c r="F1" s="4" t="str">
        <x:v>Notes / Location</x:v>
      </x:c>
      <x:c r="G1" s="4" t="str">
        <x:v>Status</x:v>
      </x:c>
      <x:c r="H1" s="4" t="str">
        <x:v>Purchase Qty</x:v>
      </x:c>
      <x:c r="I1" s="4" t="str">
        <x:v>Unit Price (USD)</x:v>
      </x:c>
      <x:c r="J1" s="4" t="str">
        <x:v>Extended Cost (USD)</x:v>
      </x:c>
      <x:c r="K1" s="4" t="str">
        <x:v>Supplier / Link</x:v>
      </x:c>
    </x:row>
    <x:row r="2" ht="28" customHeight="1">
      <x:c r="A2" s="8" t="str">
        <x:v>Transmission</x:v>
      </x:c>
      <x:c r="B2" s="8" t="str">
        <x:v>UHMWPE braided fishing line</x:v>
      </x:c>
      <x:c r="C2" s="8" t="str">
        <x:v>Ø0.39 mm, ~67 kg strength</x:v>
      </x:c>
      <x:c r="D2" s="8" t="n">
        <x:v>24</x:v>
      </x:c>
      <x:c r="E2" s="8" t="n">
        <x:v>6</x:v>
      </x:c>
      <x:c r="F2" s="8" t="str">
        <x:v>Quantity unit: meters</x:v>
      </x:c>
      <x:c r="G2" s="8" t="str">
        <x:v>Confirmed</x:v>
      </x:c>
      <x:c r="H2" s="8" t="n">
        <x:f>IF(ISNUMBER(D2),D2+IF(ISNUMBER(E2),E2,0),"")</x:f>
        <x:v>30</x:v>
      </x:c>
      <x:c r="I2" s="8"/>
      <x:c r="J2" s="8" t="str">
        <x:f>IF(AND(ISNUMBER(H2),ISNUMBER(I2)),H2*I2,"")</x:f>
      </x:c>
      <x:c r="K2" s="8"/>
    </x:row>
    <x:row r="3" ht="28" customHeight="1">
      <x:c r="A3" s="8" t="str">
        <x:v>Transmission</x:v>
      </x:c>
      <x:c r="B3" s="8" t="str">
        <x:v>GT2 timing belt</x:v>
      </x:c>
      <x:c r="C3" s="8" t="str">
        <x:v>142 mm long, 6 mm wide</x:v>
      </x:c>
      <x:c r="D3" s="8" t="n">
        <x:v>1</x:v>
      </x:c>
      <x:c r="E3" s="8" t="n">
        <x:v>0</x:v>
      </x:c>
      <x:c r="F3" s="8" t="str">
        <x:v>Wrist</x:v>
      </x:c>
      <x:c r="G3" s="8" t="str">
        <x:v>Confirmed</x:v>
      </x:c>
      <x:c r="H3" s="8" t="n">
        <x:f>IF(ISNUMBER(D3),D3+IF(ISNUMBER(E3),E3,0),"")</x:f>
        <x:v>1</x:v>
      </x:c>
      <x:c r="I3" s="8"/>
      <x:c r="J3" s="8" t="str">
        <x:f>IF(AND(ISNUMBER(H3),ISNUMBER(I3)),H3*I3,"")</x:f>
      </x:c>
      <x:c r="K3" s="8"/>
    </x:row>
    <x:row r="4" ht="28" customHeight="1">
      <x:c r="A4" s="8" t="str">
        <x:v>PTFE</x:v>
      </x:c>
      <x:c r="B4" s="8" t="str">
        <x:v>Flexible PTFE tubing</x:v>
      </x:c>
      <x:c r="C4" s="8" t="str">
        <x:v>Ø4 mm, 20 mm length</x:v>
      </x:c>
      <x:c r="D4" s="8" t="n">
        <x:v>2</x:v>
      </x:c>
      <x:c r="E4" s="8" t="n">
        <x:v>0</x:v>
      </x:c>
      <x:c r="F4" s="8" t="str">
        <x:v>Wrist M4 screws</x:v>
      </x:c>
      <x:c r="G4" s="8" t="str">
        <x:v>Confirmed</x:v>
      </x:c>
      <x:c r="H4" s="8" t="n">
        <x:f>IF(ISNUMBER(D4),D4+IF(ISNUMBER(E4),E4,0),"")</x:f>
        <x:v>2</x:v>
      </x:c>
      <x:c r="I4" s="8"/>
      <x:c r="J4" s="8" t="str">
        <x:f>IF(AND(ISNUMBER(H4),ISNUMBER(I4)),H4*I4,"")</x:f>
      </x:c>
      <x:c r="K4" s="8"/>
    </x:row>
    <x:row r="5" ht="28" customHeight="1">
      <x:c r="A5" s="8" t="str">
        <x:v>PTFE</x:v>
      </x:c>
      <x:c r="B5" s="8" t="str">
        <x:v>Finger AP tubing</x:v>
      </x:c>
      <x:c r="C5" s="8" t="str">
        <x:v>Diameter TBD, 8–10 mm segments</x:v>
      </x:c>
      <x:c r="D5" s="8" t="n">
        <x:v>10</x:v>
      </x:c>
      <x:c r="E5" s="8" t="n">
        <x:v>0</x:v>
      </x:c>
      <x:c r="F5" s="8" t="str">
        <x:v>2 per AP; assumes 5 AP parts</x:v>
      </x:c>
      <x:c r="G5" s="8" t="str">
        <x:v>VERIFY</x:v>
      </x:c>
      <x:c r="H5" s="8" t="n">
        <x:f>IF(ISNUMBER(D5),D5+IF(ISNUMBER(E5),E5,0),"")</x:f>
        <x:v>10</x:v>
      </x:c>
      <x:c r="I5" s="8"/>
      <x:c r="J5" s="8" t="str">
        <x:f>IF(AND(ISNUMBER(H5),ISNUMBER(I5)),H5*I5,"")</x:f>
      </x:c>
      <x:c r="K5" s="8"/>
    </x:row>
    <x:row r="6" ht="28" customHeight="1">
      <x:c r="A6" s="8" t="str">
        <x:v>PTFE</x:v>
      </x:c>
      <x:c r="B6" s="8" t="str">
        <x:v>Carpals tubing</x:v>
      </x:c>
      <x:c r="C6" s="8" t="str">
        <x:v>Diameter/length TBD</x:v>
      </x:c>
      <x:c r="D6" s="8" t="n">
        <x:v>32</x:v>
      </x:c>
      <x:c r="E6" s="8" t="n">
        <x:v>0</x:v>
      </x:c>
      <x:c r="F6" s="8" t="str">
        <x:v>One per channel; trim 1 mm proud</x:v>
      </x:c>
      <x:c r="G6" s="8" t="str">
        <x:v>Addendum</x:v>
      </x:c>
      <x:c r="H6" s="8" t="n">
        <x:f>IF(ISNUMBER(D6),D6+IF(ISNUMBER(E6),E6,0),"")</x:f>
        <x:v>32</x:v>
      </x:c>
      <x:c r="I6" s="8"/>
      <x:c r="J6" s="8" t="str">
        <x:f>IF(AND(ISNUMBER(H6),ISNUMBER(I6)),H6*I6,"")</x:f>
      </x:c>
      <x:c r="K6" s="8"/>
    </x:row>
    <x:row r="7" ht="28" customHeight="1">
      <x:c r="A7" s="8" t="str">
        <x:v>PTFE</x:v>
      </x:c>
      <x:c r="B7" s="8" t="str">
        <x:v>Tower tubing</x:v>
      </x:c>
      <x:c r="C7" s="8" t="str">
        <x:v>Diameter/length TBD</x:v>
      </x:c>
      <x:c r="D7" s="8" t="n">
        <x:v>32</x:v>
      </x:c>
      <x:c r="E7" s="8" t="n">
        <x:v>0</x:v>
      </x:c>
      <x:c r="F7" s="8" t="str">
        <x:v>One per channel; trim 1 mm proud</x:v>
      </x:c>
      <x:c r="G7" s="8" t="str">
        <x:v>Addendum</x:v>
      </x:c>
      <x:c r="H7" s="8" t="n">
        <x:f>IF(ISNUMBER(D7),D7+IF(ISNUMBER(E7),E7,0),"")</x:f>
        <x:v>32</x:v>
      </x:c>
      <x:c r="I7" s="8"/>
      <x:c r="J7" s="8" t="str">
        <x:f>IF(AND(ISNUMBER(H7),ISNUMBER(I7)),H7*I7,"")</x:f>
      </x:c>
      <x:c r="K7" s="8"/>
    </x:row>
  </x:sheetData>
  <x:pageMargins left="0.7" right="0.7" top="0.75" bottom="0.75" header="0.3" footer="0.3"/>
  <x:tableParts count="1">
    <x:tablePart xmlns:r="http://schemas.openxmlformats.org/officeDocument/2006/relationships" r:id="R5cb6115828a8412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36" hidden="0" customWidth="1"/>
    <x:col min="4" max="4" width="15" hidden="0" customWidth="1"/>
    <x:col min="5" max="5" width="13" hidden="0" customWidth="1"/>
    <x:col min="6" max="6" width="52" hidden="0" customWidth="1"/>
    <x:col min="7" max="7" width="22" hidden="0" customWidth="1"/>
    <x:col min="8" max="8" width="16" hidden="0" customWidth="1"/>
    <x:col min="9" max="9" width="20" hidden="0" customWidth="1"/>
    <x:col min="10" max="10" width="23" hidden="0" customWidth="1"/>
    <x:col min="11" max="11" width="36" hidden="0" customWidth="1"/>
  </x:cols>
  <x:sheetData>
    <x:row r="1" ht="32" customHeight="1">
      <x:c r="A1" s="4" t="str">
        <x:v>Category</x:v>
      </x:c>
      <x:c r="B1" s="4" t="str">
        <x:v>Component</x:v>
      </x:c>
      <x:c r="C1" s="4" t="str">
        <x:v>Specification</x:v>
      </x:c>
      <x:c r="D1" s="4" t="str">
        <x:v>Assembly Qty</x:v>
      </x:c>
      <x:c r="E1" s="4" t="str">
        <x:v>Spare Qty</x:v>
      </x:c>
      <x:c r="F1" s="4" t="str">
        <x:v>Notes / Location</x:v>
      </x:c>
      <x:c r="G1" s="4" t="str">
        <x:v>Status</x:v>
      </x:c>
      <x:c r="H1" s="4" t="str">
        <x:v>Purchase Qty</x:v>
      </x:c>
      <x:c r="I1" s="4" t="str">
        <x:v>Unit Price (USD)</x:v>
      </x:c>
      <x:c r="J1" s="4" t="str">
        <x:v>Extended Cost (USD)</x:v>
      </x:c>
      <x:c r="K1" s="4" t="str">
        <x:v>Supplier / Link</x:v>
      </x:c>
    </x:row>
    <x:row r="2" ht="28" customHeight="1">
      <x:c r="A2" s="8" t="str">
        <x:v>3D print</x:v>
      </x:c>
      <x:c r="B2" s="8" t="str">
        <x:v>All printed plates</x:v>
      </x:c>
      <x:c r="C2" s="8" t="str">
        <x:v>Left or right; DX/FT and revision matched</x:v>
      </x:c>
      <x:c r="D2" s="8" t="n">
        <x:v>1</x:v>
      </x:c>
      <x:c r="E2" s="8" t="n">
        <x:v>0</x:v>
      </x:c>
      <x:c r="F2" s="8" t="str">
        <x:v>One complete set; individual STL counts TBD</x:v>
      </x:c>
      <x:c r="G2" s="8" t="str">
        <x:v>VERIFY</x:v>
      </x:c>
      <x:c r="H2" s="8" t="n">
        <x:f>IF(ISNUMBER(D2),D2+IF(ISNUMBER(E2),E2,0),"")</x:f>
        <x:v>1</x:v>
      </x:c>
      <x:c r="I2" s="8"/>
      <x:c r="J2" s="8" t="str">
        <x:f>IF(AND(ISNUMBER(H2),ISNUMBER(I2)),H2*I2,"")</x:f>
      </x:c>
      <x:c r="K2" s="8"/>
    </x:row>
    <x:row r="3" ht="28" customHeight="1">
      <x:c r="A3" s="8" t="str">
        <x:v>3D print</x:v>
      </x:c>
      <x:c r="B3" s="8" t="str">
        <x:v>Silicone casting molds</x:v>
      </x:c>
      <x:c r="C3" s="8" t="str">
        <x:v>PLA, matched to selected hand</x:v>
      </x:c>
      <x:c r="D3" s="8" t="n">
        <x:v>1</x:v>
      </x:c>
      <x:c r="E3" s="8" t="n">
        <x:v>0</x:v>
      </x:c>
      <x:c r="F3" s="8" t="str">
        <x:v>One mold set; print quantities TBD</x:v>
      </x:c>
      <x:c r="G3" s="8" t="str">
        <x:v>VERIFY</x:v>
      </x:c>
      <x:c r="H3" s="8" t="n">
        <x:f>IF(ISNUMBER(D3),D3+IF(ISNUMBER(E3),E3,0),"")</x:f>
        <x:v>1</x:v>
      </x:c>
      <x:c r="I3" s="8"/>
      <x:c r="J3" s="8" t="str">
        <x:f>IF(AND(ISNUMBER(H3),ISNUMBER(I3)),H3*I3,"")</x:f>
      </x:c>
      <x:c r="K3" s="8"/>
    </x:row>
    <x:row r="4" ht="28" customHeight="1">
      <x:c r="A4" s="8" t="str">
        <x:v>Material</x:v>
      </x:c>
      <x:c r="B4" s="8" t="str">
        <x:v>PLA filament</x:v>
      </x:c>
      <x:c r="C4" s="8" t="str">
        <x:v>eSUN PLA</x:v>
      </x:c>
      <x:c r="D4" s="8"/>
      <x:c r="E4" s="8"/>
      <x:c r="F4" s="8" t="str">
        <x:v>Amount TBD by slicer</x:v>
      </x:c>
      <x:c r="G4" s="8" t="str">
        <x:v>VERIFY</x:v>
      </x:c>
      <x:c r="H4" s="8" t="str">
        <x:f>IF(ISNUMBER(D4),D4+IF(ISNUMBER(E4),E4,0),"")</x:f>
      </x:c>
      <x:c r="I4" s="8"/>
      <x:c r="J4" s="8" t="str">
        <x:f>IF(AND(ISNUMBER(H4),ISNUMBER(I4)),H4*I4,"")</x:f>
      </x:c>
      <x:c r="K4" s="8"/>
    </x:row>
    <x:row r="5" ht="28" customHeight="1">
      <x:c r="A5" s="8" t="str">
        <x:v>Material</x:v>
      </x:c>
      <x:c r="B5" s="8" t="str">
        <x:v>Silicone</x:v>
      </x:c>
      <x:c r="C5" s="8" t="str">
        <x:v>Dragon Skin 10 NV</x:v>
      </x:c>
      <x:c r="D5" s="8"/>
      <x:c r="E5" s="8"/>
      <x:c r="F5" s="8" t="str">
        <x:v>Amount TBD by mold volume</x:v>
      </x:c>
      <x:c r="G5" s="8" t="str">
        <x:v>VERIFY</x:v>
      </x:c>
      <x:c r="H5" s="8" t="str">
        <x:f>IF(ISNUMBER(D5),D5+IF(ISNUMBER(E5),E5,0),"")</x:f>
      </x:c>
      <x:c r="I5" s="8"/>
      <x:c r="J5" s="8" t="str">
        <x:f>IF(AND(ISNUMBER(H5),ISNUMBER(I5)),H5*I5,"")</x:f>
      </x:c>
      <x:c r="K5" s="8"/>
    </x:row>
    <x:row r="6" ht="28" customHeight="1">
      <x:c r="A6" s="8" t="str">
        <x:v>Silicone skin</x:v>
      </x:c>
      <x:c r="B6" s="8" t="str">
        <x:v>Carpals skin</x:v>
      </x:c>
      <x:c r="C6" s="8" t="str">
        <x:v>Black</x:v>
      </x:c>
      <x:c r="D6" s="8" t="n">
        <x:v>1</x:v>
      </x:c>
      <x:c r="E6" s="8" t="n">
        <x:v>0</x:v>
      </x:c>
      <x:c r="F6" s="8" t="str">
        <x:v>Palm</x:v>
      </x:c>
      <x:c r="G6" s="8" t="str">
        <x:v>Confirmed</x:v>
      </x:c>
      <x:c r="H6" s="8" t="n">
        <x:f>IF(ISNUMBER(D6),D6+IF(ISNUMBER(E6),E6,0),"")</x:f>
        <x:v>1</x:v>
      </x:c>
      <x:c r="I6" s="8"/>
      <x:c r="J6" s="8" t="str">
        <x:f>IF(AND(ISNUMBER(H6),ISNUMBER(I6)),H6*I6,"")</x:f>
      </x:c>
      <x:c r="K6" s="8"/>
    </x:row>
    <x:row r="7" ht="28" customHeight="1">
      <x:c r="A7" s="8" t="str">
        <x:v>Silicone skin</x:v>
      </x:c>
      <x:c r="B7" s="8" t="str">
        <x:v>Middle finger skin</x:v>
      </x:c>
      <x:c r="C7" s="8" t="str">
        <x:v>White</x:v>
      </x:c>
      <x:c r="D7" s="8" t="n">
        <x:v>3</x:v>
      </x:c>
      <x:c r="E7" s="8" t="n">
        <x:v>0</x:v>
      </x:c>
      <x:c r="F7" s="8" t="str">
        <x:v>Fingers</x:v>
      </x:c>
      <x:c r="G7" s="8" t="str">
        <x:v>Confirmed</x:v>
      </x:c>
      <x:c r="H7" s="8" t="n">
        <x:f>IF(ISNUMBER(D7),D7+IF(ISNUMBER(E7),E7,0),"")</x:f>
        <x:v>3</x:v>
      </x:c>
      <x:c r="I7" s="8"/>
      <x:c r="J7" s="8" t="str">
        <x:f>IF(AND(ISNUMBER(H7),ISNUMBER(I7)),H7*I7,"")</x:f>
      </x:c>
      <x:c r="K7" s="8"/>
    </x:row>
    <x:row r="8" ht="28" customHeight="1">
      <x:c r="A8" s="8" t="str">
        <x:v>Silicone skin</x:v>
      </x:c>
      <x:c r="B8" s="8" t="str">
        <x:v>Thumb skin</x:v>
      </x:c>
      <x:c r="C8" s="8" t="str">
        <x:v>White</x:v>
      </x:c>
      <x:c r="D8" s="8" t="n">
        <x:v>1</x:v>
      </x:c>
      <x:c r="E8" s="8" t="n">
        <x:v>0</x:v>
      </x:c>
      <x:c r="F8" s="8" t="str">
        <x:v>Thumb</x:v>
      </x:c>
      <x:c r="G8" s="8" t="str">
        <x:v>Confirmed</x:v>
      </x:c>
      <x:c r="H8" s="8" t="n">
        <x:f>IF(ISNUMBER(D8),D8+IF(ISNUMBER(E8),E8,0),"")</x:f>
        <x:v>1</x:v>
      </x:c>
      <x:c r="I8" s="8"/>
      <x:c r="J8" s="8" t="str">
        <x:f>IF(AND(ISNUMBER(H8),ISNUMBER(I8)),H8*I8,"")</x:f>
      </x:c>
      <x:c r="K8" s="8"/>
    </x:row>
    <x:row r="9" ht="28" customHeight="1">
      <x:c r="A9" s="8" t="str">
        <x:v>Silicone skin</x:v>
      </x:c>
      <x:c r="B9" s="8" t="str">
        <x:v>Pinky skin</x:v>
      </x:c>
      <x:c r="C9" s="8" t="str">
        <x:v>White</x:v>
      </x:c>
      <x:c r="D9" s="8" t="n">
        <x:v>1</x:v>
      </x:c>
      <x:c r="E9" s="8" t="n">
        <x:v>0</x:v>
      </x:c>
      <x:c r="F9" s="8" t="str">
        <x:v>Pinky</x:v>
      </x:c>
      <x:c r="G9" s="8" t="str">
        <x:v>Confirmed</x:v>
      </x:c>
      <x:c r="H9" s="8" t="n">
        <x:f>IF(ISNUMBER(D9),D9+IF(ISNUMBER(E9),E9,0),"")</x:f>
        <x:v>1</x:v>
      </x:c>
      <x:c r="I9" s="8"/>
      <x:c r="J9" s="8" t="str">
        <x:f>IF(AND(ISNUMBER(H9),ISNUMBER(I9)),H9*I9,"")</x:f>
      </x:c>
      <x:c r="K9" s="8"/>
    </x:row>
  </x:sheetData>
  <x:pageMargins left="0.7" right="0.7" top="0.75" bottom="0.75" header="0.3" footer="0.3"/>
  <x:tableParts count="1">
    <x:tablePart xmlns:r="http://schemas.openxmlformats.org/officeDocument/2006/relationships" r:id="R1f72a331c49a4db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36" hidden="0" customWidth="1"/>
    <x:col min="4" max="4" width="15" hidden="0" customWidth="1"/>
    <x:col min="5" max="5" width="13" hidden="0" customWidth="1"/>
    <x:col min="6" max="6" width="52" hidden="0" customWidth="1"/>
    <x:col min="7" max="7" width="22" hidden="0" customWidth="1"/>
    <x:col min="8" max="8" width="16" hidden="0" customWidth="1"/>
    <x:col min="9" max="9" width="20" hidden="0" customWidth="1"/>
    <x:col min="10" max="10" width="23" hidden="0" customWidth="1"/>
    <x:col min="11" max="11" width="36" hidden="0" customWidth="1"/>
  </x:cols>
  <x:sheetData>
    <x:row r="1" ht="32" customHeight="1">
      <x:c r="A1" s="4" t="str">
        <x:v>Category</x:v>
      </x:c>
      <x:c r="B1" s="4" t="str">
        <x:v>Component</x:v>
      </x:c>
      <x:c r="C1" s="4" t="str">
        <x:v>Specification</x:v>
      </x:c>
      <x:c r="D1" s="4" t="str">
        <x:v>Assembly Qty</x:v>
      </x:c>
      <x:c r="E1" s="4" t="str">
        <x:v>Spare Qty</x:v>
      </x:c>
      <x:c r="F1" s="4" t="str">
        <x:v>Notes / Location</x:v>
      </x:c>
      <x:c r="G1" s="4" t="str">
        <x:v>Status</x:v>
      </x:c>
      <x:c r="H1" s="4" t="str">
        <x:v>Purchase Qty</x:v>
      </x:c>
      <x:c r="I1" s="4" t="str">
        <x:v>Unit Price (USD)</x:v>
      </x:c>
      <x:c r="J1" s="4" t="str">
        <x:v>Extended Cost (USD)</x:v>
      </x:c>
      <x:c r="K1" s="4" t="str">
        <x:v>Supplier / Link</x:v>
      </x:c>
    </x:row>
    <x:row r="2" ht="28" customHeight="1">
      <x:c r="A2" s="8" t="str">
        <x:v>Mount</x:v>
      </x:c>
      <x:c r="B2" s="8" t="str">
        <x:v>CNC robot arm connector plate</x:v>
      </x:c>
      <x:c r="C2" s="8" t="str">
        <x:v>Franka connector</x:v>
      </x:c>
      <x:c r="D2" s="8" t="n">
        <x:v>1</x:v>
      </x:c>
      <x:c r="E2" s="8" t="n">
        <x:v>0</x:v>
      </x:c>
      <x:c r="F2" s="8" t="str">
        <x:v>Optional if not using Franka</x:v>
      </x:c>
      <x:c r="G2" s="8" t="str">
        <x:v>Optional</x:v>
      </x:c>
      <x:c r="H2" s="8" t="n">
        <x:f>IF(ISNUMBER(D2),D2+IF(ISNUMBER(E2),E2,0),"")</x:f>
        <x:v>1</x:v>
      </x:c>
      <x:c r="I2" s="8"/>
      <x:c r="J2" s="8" t="str">
        <x:f>IF(AND(ISNUMBER(H2),ISNUMBER(I2)),H2*I2,"")</x:f>
      </x:c>
      <x:c r="K2" s="8"/>
    </x:row>
    <x:row r="3" ht="28" customHeight="1">
      <x:c r="A3" s="8" t="str">
        <x:v>Screws</x:v>
      </x:c>
      <x:c r="B3" s="8" t="str">
        <x:v>Low-profile screw</x:v>
      </x:c>
      <x:c r="C3" s="8" t="str">
        <x:v>M6x8 DIN 912 per original BOM</x:v>
      </x:c>
      <x:c r="D3" s="8" t="n">
        <x:v>4</x:v>
      </x:c>
      <x:c r="E3" s="8" t="n">
        <x:v>0</x:v>
      </x:c>
      <x:c r="F3" s="8" t="str">
        <x:v>Franka connector</x:v>
      </x:c>
      <x:c r="G3" s="8" t="str">
        <x:v>VERIFY head geometry</x:v>
      </x:c>
      <x:c r="H3" s="8" t="n">
        <x:f>IF(ISNUMBER(D3),D3+IF(ISNUMBER(E3),E3,0),"")</x:f>
        <x:v>4</x:v>
      </x:c>
      <x:c r="I3" s="8"/>
      <x:c r="J3" s="8" t="str">
        <x:f>IF(AND(ISNUMBER(H3),ISNUMBER(I3)),H3*I3,"")</x:f>
      </x:c>
      <x:c r="K3" s="8"/>
    </x:row>
    <x:row r="4" ht="28" customHeight="1">
      <x:c r="A4" s="8" t="str">
        <x:v>Mount</x:v>
      </x:c>
      <x:c r="B4" s="8" t="str">
        <x:v>Threaded rod</x:v>
      </x:c>
      <x:c r="C4" s="8" t="str">
        <x:v>M5x100 mm</x:v>
      </x:c>
      <x:c r="D4" s="8" t="n">
        <x:v>2</x:v>
      </x:c>
      <x:c r="E4" s="8" t="n">
        <x:v>0</x:v>
      </x:c>
      <x:c r="F4" s="8" t="str">
        <x:v>Franka connector</x:v>
      </x:c>
      <x:c r="G4" s="8" t="str">
        <x:v>Optional</x:v>
      </x:c>
      <x:c r="H4" s="8" t="n">
        <x:f>IF(ISNUMBER(D4),D4+IF(ISNUMBER(E4),E4,0),"")</x:f>
        <x:v>2</x:v>
      </x:c>
      <x:c r="I4" s="8"/>
      <x:c r="J4" s="8" t="str">
        <x:f>IF(AND(ISNUMBER(H4),ISNUMBER(I4)),H4*I4,"")</x:f>
      </x:c>
      <x:c r="K4" s="8"/>
    </x:row>
  </x:sheetData>
  <x:pageMargins left="0.7" right="0.7" top="0.75" bottom="0.75" header="0.3" footer="0.3"/>
  <x:tableParts count="1">
    <x:tablePart xmlns:r="http://schemas.openxmlformats.org/officeDocument/2006/relationships" r:id="R3c0282a0fd854d2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36" hidden="0" customWidth="1"/>
    <x:col min="4" max="4" width="15" hidden="0" customWidth="1"/>
    <x:col min="5" max="5" width="13" hidden="0" customWidth="1"/>
    <x:col min="6" max="6" width="52" hidden="0" customWidth="1"/>
    <x:col min="7" max="7" width="22" hidden="0" customWidth="1"/>
    <x:col min="8" max="8" width="16" hidden="0" customWidth="1"/>
    <x:col min="9" max="9" width="20" hidden="0" customWidth="1"/>
    <x:col min="10" max="10" width="23" hidden="0" customWidth="1"/>
    <x:col min="11" max="11" width="36" hidden="0" customWidth="1"/>
  </x:cols>
  <x:sheetData>
    <x:row r="1" ht="32" customHeight="1">
      <x:c r="A1" s="4" t="str">
        <x:v>Category</x:v>
      </x:c>
      <x:c r="B1" s="4" t="str">
        <x:v>Component</x:v>
      </x:c>
      <x:c r="C1" s="4" t="str">
        <x:v>Specification</x:v>
      </x:c>
      <x:c r="D1" s="4" t="str">
        <x:v>Assembly Qty</x:v>
      </x:c>
      <x:c r="E1" s="4" t="str">
        <x:v>Spare Qty</x:v>
      </x:c>
      <x:c r="F1" s="4" t="str">
        <x:v>Notes / Location</x:v>
      </x:c>
      <x:c r="G1" s="4" t="str">
        <x:v>Status</x:v>
      </x:c>
      <x:c r="H1" s="4" t="str">
        <x:v>Purchase Qty</x:v>
      </x:c>
      <x:c r="I1" s="4" t="str">
        <x:v>Unit Price (USD)</x:v>
      </x:c>
      <x:c r="J1" s="4" t="str">
        <x:v>Extended Cost (USD)</x:v>
      </x:c>
      <x:c r="K1" s="4" t="str">
        <x:v>Supplier / Link</x:v>
      </x:c>
    </x:row>
    <x:row r="2" ht="28" customHeight="1">
      <x:c r="A2" s="8" t="str">
        <x:v>Motor</x:v>
      </x:c>
      <x:c r="B2" s="8" t="str">
        <x:v>Wrist actuator</x:v>
      </x:c>
      <x:c r="C2" s="8" t="str">
        <x:v>XC430-T240BB-T</x:v>
      </x:c>
      <x:c r="D2" s="8" t="n">
        <x:v>1</x:v>
      </x:c>
      <x:c r="E2" s="8" t="n">
        <x:v>0</x:v>
      </x:c>
      <x:c r="F2" s="8" t="str">
        <x:v>Wrist</x:v>
      </x:c>
      <x:c r="G2" s="8" t="str">
        <x:v>Confirmed</x:v>
      </x:c>
      <x:c r="H2" s="8" t="n">
        <x:f>IF(ISNUMBER(D2),D2+IF(ISNUMBER(E2),E2,0),"")</x:f>
        <x:v>1</x:v>
      </x:c>
      <x:c r="I2" s="8"/>
      <x:c r="J2" s="8" t="str">
        <x:f>IF(AND(ISNUMBER(H2),ISNUMBER(I2)),H2*I2,"")</x:f>
      </x:c>
      <x:c r="K2" s="8"/>
    </x:row>
    <x:row r="3" ht="28" customHeight="1">
      <x:c r="A3" s="8" t="str">
        <x:v>Motor</x:v>
      </x:c>
      <x:c r="B3" s="8" t="str">
        <x:v>Finger actuator</x:v>
      </x:c>
      <x:c r="C3" s="8" t="str">
        <x:v>XC330-T288-T</x:v>
      </x:c>
      <x:c r="D3" s="8" t="n">
        <x:v>16</x:v>
      </x:c>
      <x:c r="E3" s="8" t="n">
        <x:v>0</x:v>
      </x:c>
      <x:c r="F3" s="8" t="str">
        <x:v>Fingers</x:v>
      </x:c>
      <x:c r="G3" s="8" t="str">
        <x:v>Confirmed</x:v>
      </x:c>
      <x:c r="H3" s="8" t="n">
        <x:f>IF(ISNUMBER(D3),D3+IF(ISNUMBER(E3),E3,0),"")</x:f>
        <x:v>16</x:v>
      </x:c>
      <x:c r="I3" s="8"/>
      <x:c r="J3" s="8" t="str">
        <x:f>IF(AND(ISNUMBER(H3),ISNUMBER(I3)),H3*I3,"")</x:f>
      </x:c>
      <x:c r="K3" s="8"/>
    </x:row>
    <x:row r="4" ht="28" customHeight="1">
      <x:c r="A4" s="8" t="str">
        <x:v>Electronics</x:v>
      </x:c>
      <x:c r="B4" s="8" t="str">
        <x:v>Dynamixel PowerBoard</x:v>
      </x:c>
      <x:c r="C4" s="8" t="str">
        <x:v>Official board</x:v>
      </x:c>
      <x:c r="D4" s="8" t="n">
        <x:v>1</x:v>
      </x:c>
      <x:c r="E4" s="8" t="n">
        <x:v>0</x:v>
      </x:c>
      <x:c r="F4" s="8" t="str">
        <x:v>Power distribution</x:v>
      </x:c>
      <x:c r="G4" s="8" t="str">
        <x:v>Confirmed</x:v>
      </x:c>
      <x:c r="H4" s="8" t="n">
        <x:f>IF(ISNUMBER(D4),D4+IF(ISNUMBER(E4),E4,0),"")</x:f>
        <x:v>1</x:v>
      </x:c>
      <x:c r="I4" s="8"/>
      <x:c r="J4" s="8" t="str">
        <x:f>IF(AND(ISNUMBER(H4),ISNUMBER(I4)),H4*I4,"")</x:f>
      </x:c>
      <x:c r="K4" s="8"/>
    </x:row>
    <x:row r="5" ht="28" customHeight="1">
      <x:c r="A5" s="8" t="str">
        <x:v>Electronics</x:v>
      </x:c>
      <x:c r="B5" s="8" t="str">
        <x:v>U2D2</x:v>
      </x:c>
      <x:c r="C5" s="8" t="str">
        <x:v>ROBOTIS USB converter</x:v>
      </x:c>
      <x:c r="D5" s="8" t="n">
        <x:v>1</x:v>
      </x:c>
      <x:c r="E5" s="8" t="n">
        <x:v>0</x:v>
      </x:c>
      <x:c r="F5" s="8" t="str">
        <x:v>USB communication</x:v>
      </x:c>
      <x:c r="G5" s="8" t="str">
        <x:v>Confirmed</x:v>
      </x:c>
      <x:c r="H5" s="8" t="n">
        <x:f>IF(ISNUMBER(D5),D5+IF(ISNUMBER(E5),E5,0),"")</x:f>
        <x:v>1</x:v>
      </x:c>
      <x:c r="I5" s="8"/>
      <x:c r="J5" s="8" t="str">
        <x:f>IF(AND(ISNUMBER(H5),ISNUMBER(I5)),H5*I5,"")</x:f>
      </x:c>
      <x:c r="K5" s="8"/>
    </x:row>
    <x:row r="6" ht="28" customHeight="1">
      <x:c r="A6" s="8" t="str">
        <x:v>Electronics</x:v>
      </x:c>
      <x:c r="B6" s="8" t="str">
        <x:v>Motor connector PCB</x:v>
      </x:c>
      <x:c r="C6" s="8" t="str">
        <x:v>Official PCB</x:v>
      </x:c>
      <x:c r="D6" s="8"/>
      <x:c r="E6" s="8"/>
      <x:c r="F6" s="8" t="str">
        <x:v>Exact number TBD</x:v>
      </x:c>
      <x:c r="G6" s="8" t="str">
        <x:v>VERIFY</x:v>
      </x:c>
      <x:c r="H6" s="8" t="str">
        <x:f>IF(ISNUMBER(D6),D6+IF(ISNUMBER(E6),E6,0),"")</x:f>
      </x:c>
      <x:c r="I6" s="8"/>
      <x:c r="J6" s="8" t="str">
        <x:f>IF(AND(ISNUMBER(H6),ISNUMBER(I6)),H6*I6,"")</x:f>
      </x:c>
      <x:c r="K6" s="8"/>
    </x:row>
    <x:row r="7" ht="28" customHeight="1">
      <x:c r="A7" s="8" t="str">
        <x:v>Cooling</x:v>
      </x:c>
      <x:c r="B7" s="8" t="str">
        <x:v>Fan</x:v>
      </x:c>
      <x:c r="C7" s="8" t="str">
        <x:v>50x50x10 mm; 90 mm cable</x:v>
      </x:c>
      <x:c r="D7" s="8" t="n">
        <x:v>2</x:v>
      </x:c>
      <x:c r="E7" s="8" t="n">
        <x:v>0</x:v>
      </x:c>
      <x:c r="F7" s="8" t="str">
        <x:v>Tower</x:v>
      </x:c>
      <x:c r="G7" s="8" t="str">
        <x:v>Confirmed</x:v>
      </x:c>
      <x:c r="H7" s="8" t="n">
        <x:f>IF(ISNUMBER(D7),D7+IF(ISNUMBER(E7),E7,0),"")</x:f>
        <x:v>2</x:v>
      </x:c>
      <x:c r="I7" s="8"/>
      <x:c r="J7" s="8" t="str">
        <x:f>IF(AND(ISNUMBER(H7),ISNUMBER(I7)),H7*I7,"")</x:f>
      </x:c>
      <x:c r="K7" s="8"/>
    </x:row>
    <x:row r="8" ht="28" customHeight="1">
      <x:c r="A8" s="8" t="str">
        <x:v>Power</x:v>
      </x:c>
      <x:c r="B8" s="8" t="str">
        <x:v>AC adapter</x:v>
      </x:c>
      <x:c r="C8" s="8" t="str">
        <x:v>12 V 5 A</x:v>
      </x:c>
      <x:c r="D8" s="8" t="n">
        <x:v>1</x:v>
      </x:c>
      <x:c r="E8" s="8" t="n">
        <x:v>0</x:v>
      </x:c>
      <x:c r="F8" s="8" t="str">
        <x:v>Hand power</x:v>
      </x:c>
      <x:c r="G8" s="8" t="str">
        <x:v>Confirmed</x:v>
      </x:c>
      <x:c r="H8" s="8" t="n">
        <x:f>IF(ISNUMBER(D8),D8+IF(ISNUMBER(E8),E8,0),"")</x:f>
        <x:v>1</x:v>
      </x:c>
      <x:c r="I8" s="8"/>
      <x:c r="J8" s="8" t="str">
        <x:f>IF(AND(ISNUMBER(H8),ISNUMBER(I8)),H8*I8,"")</x:f>
      </x:c>
      <x:c r="K8" s="8"/>
    </x:row>
    <x:row r="9" ht="28" customHeight="1">
      <x:c r="A9" s="8" t="str">
        <x:v>Connectivity</x:v>
      </x:c>
      <x:c r="B9" s="8" t="str">
        <x:v>USB-C cable</x:v>
      </x:c>
      <x:c r="C9" s="8" t="str">
        <x:v>PC to orca_core</x:v>
      </x:c>
      <x:c r="D9" s="8" t="n">
        <x:v>1</x:v>
      </x:c>
      <x:c r="E9" s="8" t="n">
        <x:v>0</x:v>
      </x:c>
      <x:c r="F9" s="8" t="str">
        <x:v>Common item; count once</x:v>
      </x:c>
      <x:c r="G9" s="8" t="str">
        <x:v>Confirmed</x:v>
      </x:c>
      <x:c r="H9" s="8" t="n">
        <x:f>IF(ISNUMBER(D9),D9+IF(ISNUMBER(E9),E9,0),"")</x:f>
        <x:v>1</x:v>
      </x:c>
      <x:c r="I9" s="8"/>
      <x:c r="J9" s="8" t="str">
        <x:f>IF(AND(ISNUMBER(H9),ISNUMBER(I9)),H9*I9,"")</x:f>
      </x:c>
      <x:c r="K9" s="8"/>
    </x:row>
    <x:row r="10" ht="28" customHeight="1">
      <x:c r="A10" s="8" t="str">
        <x:v>Screws</x:v>
      </x:c>
      <x:c r="B10" s="8" t="str">
        <x:v>Socket head screw DIN 912</x:v>
      </x:c>
      <x:c r="C10" s="8" t="str">
        <x:v>M2x8</x:v>
      </x:c>
      <x:c r="D10" s="8" t="n">
        <x:v>4</x:v>
      </x:c>
      <x:c r="E10" s="8" t="n">
        <x:v>0</x:v>
      </x:c>
      <x:c r="F10" s="8" t="str">
        <x:v>Additional DX wrist screws</x:v>
      </x:c>
      <x:c r="G10" s="8" t="str">
        <x:v>Confirmed</x:v>
      </x:c>
      <x:c r="H10" s="8" t="n">
        <x:f>IF(ISNUMBER(D10),D10+IF(ISNUMBER(E10),E10,0),"")</x:f>
        <x:v>4</x:v>
      </x:c>
      <x:c r="I10" s="8"/>
      <x:c r="J10" s="8" t="str">
        <x:f>IF(AND(ISNUMBER(H10),ISNUMBER(I10)),H10*I10,"")</x:f>
      </x:c>
      <x:c r="K10" s="8"/>
    </x:row>
    <x:row r="11" ht="28" customHeight="1">
      <x:c r="A11" s="8" t="str">
        <x:v>Cable</x:v>
      </x:c>
      <x:c r="B11" s="8" t="str">
        <x:v>3XP JST EH 2.5mm EHR-3</x:v>
      </x:c>
      <x:c r="C11" s="8" t="str">
        <x:v>180 mm, board to servo</x:v>
      </x:c>
      <x:c r="D11" s="8" t="n">
        <x:v>1</x:v>
      </x:c>
      <x:c r="E11" s="8" t="n">
        <x:v>2</x:v>
      </x:c>
      <x:c r="F11" s="8" t="str">
        <x:v>Custom</x:v>
      </x:c>
      <x:c r="G11" s="8" t="str">
        <x:v>Confirmed</x:v>
      </x:c>
      <x:c r="H11" s="8" t="n">
        <x:f>IF(ISNUMBER(D11),D11+IF(ISNUMBER(E11),E11,0),"")</x:f>
        <x:v>3</x:v>
      </x:c>
      <x:c r="I11" s="8"/>
      <x:c r="J11" s="8" t="str">
        <x:f>IF(AND(ISNUMBER(H11),ISNUMBER(I11)),H11*I11,"")</x:f>
      </x:c>
      <x:c r="K11" s="8"/>
    </x:row>
    <x:row r="12" ht="28" customHeight="1">
      <x:c r="A12" s="8" t="str">
        <x:v>Cable</x:v>
      </x:c>
      <x:c r="B12" s="8" t="str">
        <x:v>3XP JST EH 2.5mm EHR-3</x:v>
      </x:c>
      <x:c r="C12" s="8" t="str">
        <x:v>100 mm, daisy chain</x:v>
      </x:c>
      <x:c r="D12" s="8" t="n">
        <x:v>4</x:v>
      </x:c>
      <x:c r="E12" s="8" t="n">
        <x:v>2</x:v>
      </x:c>
      <x:c r="F12" s="8" t="str">
        <x:v>Servo chaining</x:v>
      </x:c>
      <x:c r="G12" s="8" t="str">
        <x:v>Confirmed</x:v>
      </x:c>
      <x:c r="H12" s="8" t="n">
        <x:f>IF(ISNUMBER(D12),D12+IF(ISNUMBER(E12),E12,0),"")</x:f>
        <x:v>6</x:v>
      </x:c>
      <x:c r="I12" s="8"/>
      <x:c r="J12" s="8" t="str">
        <x:f>IF(AND(ISNUMBER(H12),ISNUMBER(I12)),H12*I12,"")</x:f>
      </x:c>
      <x:c r="K12" s="8"/>
    </x:row>
  </x:sheetData>
  <x:pageMargins left="0.7" right="0.7" top="0.75" bottom="0.75" header="0.3" footer="0.3"/>
  <x:tableParts count="1">
    <x:tablePart xmlns:r="http://schemas.openxmlformats.org/officeDocument/2006/relationships" r:id="Rcd558b367465442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36" hidden="0" customWidth="1"/>
    <x:col min="4" max="4" width="15" hidden="0" customWidth="1"/>
    <x:col min="5" max="5" width="13" hidden="0" customWidth="1"/>
    <x:col min="6" max="6" width="52" hidden="0" customWidth="1"/>
    <x:col min="7" max="7" width="22" hidden="0" customWidth="1"/>
    <x:col min="8" max="8" width="16" hidden="0" customWidth="1"/>
    <x:col min="9" max="9" width="20" hidden="0" customWidth="1"/>
    <x:col min="10" max="10" width="23" hidden="0" customWidth="1"/>
    <x:col min="11" max="11" width="36" hidden="0" customWidth="1"/>
  </x:cols>
  <x:sheetData>
    <x:row r="1" ht="32" customHeight="1">
      <x:c r="A1" s="4" t="str">
        <x:v>Category</x:v>
      </x:c>
      <x:c r="B1" s="4" t="str">
        <x:v>Component</x:v>
      </x:c>
      <x:c r="C1" s="4" t="str">
        <x:v>Specification</x:v>
      </x:c>
      <x:c r="D1" s="4" t="str">
        <x:v>Assembly Qty</x:v>
      </x:c>
      <x:c r="E1" s="4" t="str">
        <x:v>Spare Qty</x:v>
      </x:c>
      <x:c r="F1" s="4" t="str">
        <x:v>Notes / Location</x:v>
      </x:c>
      <x:c r="G1" s="4" t="str">
        <x:v>Status</x:v>
      </x:c>
      <x:c r="H1" s="4" t="str">
        <x:v>Purchase Qty</x:v>
      </x:c>
      <x:c r="I1" s="4" t="str">
        <x:v>Unit Price (USD)</x:v>
      </x:c>
      <x:c r="J1" s="4" t="str">
        <x:v>Extended Cost (USD)</x:v>
      </x:c>
      <x:c r="K1" s="4" t="str">
        <x:v>Supplier / Link</x:v>
      </x:c>
    </x:row>
    <x:row r="2" ht="28" customHeight="1">
      <x:c r="A2" s="8" t="str">
        <x:v>Motor</x:v>
      </x:c>
      <x:c r="B2" s="8" t="str">
        <x:v>Wrist actuator</x:v>
      </x:c>
      <x:c r="C2" s="8" t="str">
        <x:v>HL-3930-Plastic</x:v>
      </x:c>
      <x:c r="D2" s="8" t="n">
        <x:v>1</x:v>
      </x:c>
      <x:c r="E2" s="8" t="n">
        <x:v>0</x:v>
      </x:c>
      <x:c r="F2" s="8" t="str">
        <x:v>Wrist</x:v>
      </x:c>
      <x:c r="G2" s="8" t="str">
        <x:v>Confirmed</x:v>
      </x:c>
      <x:c r="H2" s="8" t="n">
        <x:f>IF(ISNUMBER(D2),D2+IF(ISNUMBER(E2),E2,0),"")</x:f>
        <x:v>1</x:v>
      </x:c>
      <x:c r="I2" s="8"/>
      <x:c r="J2" s="8" t="str">
        <x:f>IF(AND(ISNUMBER(H2),ISNUMBER(I2)),H2*I2,"")</x:f>
      </x:c>
      <x:c r="K2" s="8"/>
    </x:row>
    <x:row r="3" ht="28" customHeight="1">
      <x:c r="A3" s="8" t="str">
        <x:v>Motor</x:v>
      </x:c>
      <x:c r="B3" s="8" t="str">
        <x:v>Finger actuator</x:v>
      </x:c>
      <x:c r="C3" s="8" t="str">
        <x:v>HL-2915-Plastic</x:v>
      </x:c>
      <x:c r="D3" s="8" t="n">
        <x:v>16</x:v>
      </x:c>
      <x:c r="E3" s="8" t="n">
        <x:v>0</x:v>
      </x:c>
      <x:c r="F3" s="8" t="str">
        <x:v>Fingers</x:v>
      </x:c>
      <x:c r="G3" s="8" t="str">
        <x:v>Confirmed</x:v>
      </x:c>
      <x:c r="H3" s="8" t="n">
        <x:f>IF(ISNUMBER(D3),D3+IF(ISNUMBER(E3),E3,0),"")</x:f>
        <x:v>16</x:v>
      </x:c>
      <x:c r="I3" s="8"/>
      <x:c r="J3" s="8" t="str">
        <x:f>IF(AND(ISNUMBER(H3),ISNUMBER(I3)),H3*I3,"")</x:f>
      </x:c>
      <x:c r="K3" s="8"/>
    </x:row>
    <x:row r="4" ht="28" customHeight="1">
      <x:c r="A4" s="8" t="str">
        <x:v>Electronics</x:v>
      </x:c>
      <x:c r="B4" s="8" t="str">
        <x:v>FE-URT-2</x:v>
      </x:c>
      <x:c r="C4" s="8" t="str">
        <x:v>USB-C control board</x:v>
      </x:c>
      <x:c r="D4" s="8" t="n">
        <x:v>1</x:v>
      </x:c>
      <x:c r="E4" s="8" t="n">
        <x:v>0</x:v>
      </x:c>
      <x:c r="F4" s="8" t="str">
        <x:v>Motor communication</x:v>
      </x:c>
      <x:c r="G4" s="8" t="str">
        <x:v>Confirmed</x:v>
      </x:c>
      <x:c r="H4" s="8" t="n">
        <x:f>IF(ISNUMBER(D4),D4+IF(ISNUMBER(E4),E4,0),"")</x:f>
        <x:v>1</x:v>
      </x:c>
      <x:c r="I4" s="8"/>
      <x:c r="J4" s="8" t="str">
        <x:f>IF(AND(ISNUMBER(H4),ISNUMBER(I4)),H4*I4,"")</x:f>
      </x:c>
      <x:c r="K4" s="8"/>
    </x:row>
    <x:row r="5" ht="28" customHeight="1">
      <x:c r="A5" s="8" t="str">
        <x:v>Cooling</x:v>
      </x:c>
      <x:c r="B5" s="8" t="str">
        <x:v>Fan</x:v>
      </x:c>
      <x:c r="C5" s="8" t="str">
        <x:v>50x50x10 mm; 70 mm cable</x:v>
      </x:c>
      <x:c r="D5" s="8" t="n">
        <x:v>2</x:v>
      </x:c>
      <x:c r="E5" s="8" t="n">
        <x:v>0</x:v>
      </x:c>
      <x:c r="F5" s="8" t="str">
        <x:v>Tower</x:v>
      </x:c>
      <x:c r="G5" s="8" t="str">
        <x:v>Confirmed</x:v>
      </x:c>
      <x:c r="H5" s="8" t="n">
        <x:f>IF(ISNUMBER(D5),D5+IF(ISNUMBER(E5),E5,0),"")</x:f>
        <x:v>2</x:v>
      </x:c>
      <x:c r="I5" s="8"/>
      <x:c r="J5" s="8" t="str">
        <x:f>IF(AND(ISNUMBER(H5),ISNUMBER(I5)),H5*I5,"")</x:f>
      </x:c>
      <x:c r="K5" s="8"/>
    </x:row>
    <x:row r="6" ht="28" customHeight="1">
      <x:c r="A6" s="8" t="str">
        <x:v>Power</x:v>
      </x:c>
      <x:c r="B6" s="8" t="str">
        <x:v>AC adapter</x:v>
      </x:c>
      <x:c r="C6" s="8" t="str">
        <x:v>12 V 5 A</x:v>
      </x:c>
      <x:c r="D6" s="8" t="n">
        <x:v>1</x:v>
      </x:c>
      <x:c r="E6" s="8" t="n">
        <x:v>0</x:v>
      </x:c>
      <x:c r="F6" s="8" t="str">
        <x:v>Hand power</x:v>
      </x:c>
      <x:c r="G6" s="8" t="str">
        <x:v>Confirmed</x:v>
      </x:c>
      <x:c r="H6" s="8" t="n">
        <x:f>IF(ISNUMBER(D6),D6+IF(ISNUMBER(E6),E6,0),"")</x:f>
        <x:v>1</x:v>
      </x:c>
      <x:c r="I6" s="8"/>
      <x:c r="J6" s="8" t="str">
        <x:f>IF(AND(ISNUMBER(H6),ISNUMBER(I6)),H6*I6,"")</x:f>
      </x:c>
      <x:c r="K6" s="8"/>
    </x:row>
    <x:row r="7" ht="28" customHeight="1">
      <x:c r="A7" s="8" t="str">
        <x:v>Connectivity</x:v>
      </x:c>
      <x:c r="B7" s="8" t="str">
        <x:v>USB-C cable</x:v>
      </x:c>
      <x:c r="C7" s="8" t="str">
        <x:v>PC to orca_core</x:v>
      </x:c>
      <x:c r="D7" s="8" t="n">
        <x:v>1</x:v>
      </x:c>
      <x:c r="E7" s="8" t="n">
        <x:v>0</x:v>
      </x:c>
      <x:c r="F7" s="8" t="str">
        <x:v>Common item; count once</x:v>
      </x:c>
      <x:c r="G7" s="8" t="str">
        <x:v>Confirmed</x:v>
      </x:c>
      <x:c r="H7" s="8" t="n">
        <x:f>IF(ISNUMBER(D7),D7+IF(ISNUMBER(E7),E7,0),"")</x:f>
        <x:v>1</x:v>
      </x:c>
      <x:c r="I7" s="8"/>
      <x:c r="J7" s="8" t="str">
        <x:f>IF(AND(ISNUMBER(H7),ISNUMBER(I7)),H7*I7,"")</x:f>
      </x:c>
      <x:c r="K7" s="8"/>
    </x:row>
    <x:row r="8" ht="28" customHeight="1">
      <x:c r="A8" s="8" t="str">
        <x:v>Screws</x:v>
      </x:c>
      <x:c r="B8" s="8" t="str">
        <x:v>Socket head screw DIN 912</x:v>
      </x:c>
      <x:c r="C8" s="8" t="str">
        <x:v>M3x6</x:v>
      </x:c>
      <x:c r="D8" s="8" t="n">
        <x:v>1</x:v>
      </x:c>
      <x:c r="E8" s="8" t="n">
        <x:v>0</x:v>
      </x:c>
      <x:c r="F8" s="8" t="str">
        <x:v>Additional FT wrist screw</x:v>
      </x:c>
      <x:c r="G8" s="8" t="str">
        <x:v>Confirmed</x:v>
      </x:c>
      <x:c r="H8" s="8" t="n">
        <x:f>IF(ISNUMBER(D8),D8+IF(ISNUMBER(E8),E8,0),"")</x:f>
        <x:v>1</x:v>
      </x:c>
      <x:c r="I8" s="8"/>
      <x:c r="J8" s="8" t="str">
        <x:f>IF(AND(ISNUMBER(H8),ISNUMBER(I8)),H8*I8,"")</x:f>
      </x:c>
      <x:c r="K8" s="8"/>
    </x:row>
    <x:row r="9" ht="28" customHeight="1">
      <x:c r="A9" s="8" t="str">
        <x:v>Screws</x:v>
      </x:c>
      <x:c r="B9" s="8" t="str">
        <x:v>Socket head screw DIN 912</x:v>
      </x:c>
      <x:c r="C9" s="8" t="str">
        <x:v>M3x8</x:v>
      </x:c>
      <x:c r="D9" s="8" t="n">
        <x:v>4</x:v>
      </x:c>
      <x:c r="E9" s="8" t="n">
        <x:v>0</x:v>
      </x:c>
      <x:c r="F9" s="8" t="str">
        <x:v>Additional FT wrist screws</x:v>
      </x:c>
      <x:c r="G9" s="8" t="str">
        <x:v>Confirmed</x:v>
      </x:c>
      <x:c r="H9" s="8" t="n">
        <x:f>IF(ISNUMBER(D9),D9+IF(ISNUMBER(E9),E9,0),"")</x:f>
        <x:v>4</x:v>
      </x:c>
      <x:c r="I9" s="8"/>
      <x:c r="J9" s="8" t="str">
        <x:f>IF(AND(ISNUMBER(H9),ISNUMBER(I9)),H9*I9,"")</x:f>
      </x:c>
      <x:c r="K9" s="8"/>
    </x:row>
    <x:row r="10" ht="28" customHeight="1">
      <x:c r="A10" s="8" t="str">
        <x:v>Cable</x:v>
      </x:c>
      <x:c r="B10" s="8" t="str">
        <x:v>3XP 2.5mm to 1.25mm</x:v>
      </x:c>
      <x:c r="C10" s="8" t="str">
        <x:v>160 mm</x:v>
      </x:c>
      <x:c r="D10" s="8" t="n">
        <x:v>2</x:v>
      </x:c>
      <x:c r="E10" s="8" t="n">
        <x:v>2</x:v>
      </x:c>
      <x:c r="F10" s="8" t="str">
        <x:v>Board to servo</x:v>
      </x:c>
      <x:c r="G10" s="8" t="str">
        <x:v>Confirmed</x:v>
      </x:c>
      <x:c r="H10" s="8" t="n">
        <x:f>IF(ISNUMBER(D10),D10+IF(ISNUMBER(E10),E10,0),"")</x:f>
        <x:v>4</x:v>
      </x:c>
      <x:c r="I10" s="8"/>
      <x:c r="J10" s="8" t="str">
        <x:f>IF(AND(ISNUMBER(H10),ISNUMBER(I10)),H10*I10,"")</x:f>
      </x:c>
      <x:c r="K10" s="8"/>
    </x:row>
    <x:row r="11" ht="28" customHeight="1">
      <x:c r="A11" s="8" t="str">
        <x:v>Cable</x:v>
      </x:c>
      <x:c r="B11" s="8" t="str">
        <x:v>3XP 1.25mm to 1.25mm</x:v>
      </x:c>
      <x:c r="C11" s="8" t="str">
        <x:v>100 mm</x:v>
      </x:c>
      <x:c r="D11" s="8" t="n">
        <x:v>3</x:v>
      </x:c>
      <x:c r="E11" s="8" t="n">
        <x:v>2</x:v>
      </x:c>
      <x:c r="F11" s="8" t="str">
        <x:v>Finger daisy chain</x:v>
      </x:c>
      <x:c r="G11" s="8" t="str">
        <x:v>Confirmed</x:v>
      </x:c>
      <x:c r="H11" s="8" t="n">
        <x:f>IF(ISNUMBER(D11),D11+IF(ISNUMBER(E11),E11,0),"")</x:f>
        <x:v>5</x:v>
      </x:c>
      <x:c r="I11" s="8"/>
      <x:c r="J11" s="8" t="str">
        <x:f>IF(AND(ISNUMBER(H11),ISNUMBER(I11)),H11*I11,"")</x:f>
      </x:c>
      <x:c r="K11" s="8"/>
    </x:row>
    <x:row r="12" ht="28" customHeight="1">
      <x:c r="A12" s="8" t="str">
        <x:v>Cable</x:v>
      </x:c>
      <x:c r="B12" s="8" t="str">
        <x:v>3XP 2.5mm to 1.25mm</x:v>
      </x:c>
      <x:c r="C12" s="8" t="str">
        <x:v>100 mm</x:v>
      </x:c>
      <x:c r="D12" s="8" t="n">
        <x:v>1</x:v>
      </x:c>
      <x:c r="E12" s="8" t="n">
        <x:v>2</x:v>
      </x:c>
      <x:c r="F12" s="8" t="str">
        <x:v>Finger to wrist</x:v>
      </x:c>
      <x:c r="G12" s="8" t="str">
        <x:v>Confirmed</x:v>
      </x:c>
      <x:c r="H12" s="8" t="n">
        <x:f>IF(ISNUMBER(D12),D12+IF(ISNUMBER(E12),E12,0),"")</x:f>
        <x:v>3</x:v>
      </x:c>
      <x:c r="I12" s="8"/>
      <x:c r="J12" s="8" t="str">
        <x:f>IF(AND(ISNUMBER(H12),ISNUMBER(I12)),H12*I12,"")</x:f>
      </x:c>
      <x:c r="K12" s="8"/>
    </x:row>
    <x:row r="13" ht="28" customHeight="1">
      <x:c r="A13" s="8" t="str">
        <x:v>Cable</x:v>
      </x:c>
      <x:c r="B13" s="8" t="str">
        <x:v>3XP 1.25mm to 1.25mm</x:v>
      </x:c>
      <x:c r="C13" s="8" t="str">
        <x:v>50 mm</x:v>
      </x:c>
      <x:c r="D13" s="8" t="n">
        <x:v>12</x:v>
      </x:c>
      <x:c r="E13" s="8" t="n">
        <x:v>4</x:v>
      </x:c>
      <x:c r="F13" s="8" t="str">
        <x:v>Finger daisy chain</x:v>
      </x:c>
      <x:c r="G13" s="8" t="str">
        <x:v>Confirmed</x:v>
      </x:c>
      <x:c r="H13" s="8" t="n">
        <x:f>IF(ISNUMBER(D13),D13+IF(ISNUMBER(E13),E13,0),"")</x:f>
        <x:v>16</x:v>
      </x:c>
      <x:c r="I13" s="8"/>
      <x:c r="J13" s="8" t="str">
        <x:f>IF(AND(ISNUMBER(H13),ISNUMBER(I13)),H13*I13,"")</x:f>
      </x:c>
      <x:c r="K13" s="8"/>
    </x:row>
  </x:sheetData>
  <x:pageMargins left="0.7" right="0.7" top="0.75" bottom="0.75" header="0.3" footer="0.3"/>
  <x:tableParts count="1">
    <x:tablePart xmlns:r="http://schemas.openxmlformats.org/officeDocument/2006/relationships" r:id="Rb9a2103e943d473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 ht="35" customHeight="1">
      <x:c r="A1" s="3" t="str">
        <x:v>ORCA Hand V2 — Complete BOM | October 2026</x:v>
      </x:c>
    </x:row>
    <x:row r="2">
      <x:c r="A2" t="str">
        <x:v>One hand (left or right); select ONE motor variant (DX or FT).</x:v>
      </x:c>
    </x:row>
    <x:row r="3">
      <x:c r="A3" t="str">
        <x:v>Assembly Qty excludes spare parts. Purchase Qty includes listed spares.</x:v>
      </x:c>
    </x:row>
    <x:row r="4">
      <x:c r="A4" t="str">
        <x:v>The two wrist-bearing rows are ALTERNATIVES; do not buy both before checking CAD.</x:v>
      </x:c>
    </x:row>
    <x:row r="5">
      <x:c r="A5" t="str">
        <x:v>PTFE tubing dimensions and total length require CAD verification.</x:v>
      </x:c>
    </x:row>
    <x:row r="6">
      <x:c r="A6" t="str">
        <x:v>The AP tubing count assumes five AP components; verify against the printed set.</x:v>
      </x:c>
    </x:row>
    <x:row r="7">
      <x:c r="A7" t="str">
        <x:v>V1100 spools have four screw holes; V1000 have five. Match printed revision.</x:v>
      </x:c>
    </x:row>
    <x:row r="8">
      <x:c r="A8" t="str">
        <x:v>Optional Franka interface components may be omitted for other mounting systems.</x:v>
      </x:c>
    </x:row>
    <x:row r="9">
      <x:c r="A9" t="str">
        <x:v>Blank quantity cells mean the official material does not establish a number.</x:v>
      </x:c>
    </x:row>
    <x:row r="10">
      <x:c r="A10" t="str">
        <x:v>Prices and supplier links are intentionally blank for purchasing.</x:v>
      </x:c>
    </x:row>
    <x:row r="11">
      <x:c r="A11" t="str">
        <x:v>Sources: https://www.orcahand.com/bill-of-materials</x:v>
      </x:c>
    </x:row>
    <x:row r="12">
      <x:c r="A12" t="str">
        <x:v>Assembly video: https://www.youtube.com/watch?v=TgIz7HiyaoU</x:v>
      </x:c>
    </x:row>
    <x:row r="13">
      <x:c r="A13" t="str">
        <x:v>Hardware: https://github.com/orcahand/orcahand_hardware</x:v>
      </x:c>
    </x:row>
  </x:sheetData>
  <x:pageMargins left="0.7" right="0.7" top="0.75" bottom="0.75" header="0.3" footer="0.3"/>
</x:worksheet>
</file>